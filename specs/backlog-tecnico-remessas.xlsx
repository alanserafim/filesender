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626A4454-250F-4132-96F0-CD4DB817F667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Tasks Detalhadas" sheetId="1" r:id="rId1"/>
    <sheet name="Resumo por Camada" sheetId="2" r:id="rId2"/>
    <sheet name="Cronograma Sprints" sheetId="3" r:id="rId3"/>
    <sheet name="Gantt HUs" sheetId="4" r:id="rId4"/>
    <sheet name="Capacidade e Premissas" sheetId="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5" l="1"/>
  <c r="B9" i="5"/>
  <c r="D9" i="5" s="1"/>
  <c r="D8" i="5"/>
  <c r="D7" i="5"/>
  <c r="D6" i="5"/>
  <c r="D5" i="5"/>
  <c r="D4" i="5"/>
  <c r="D3" i="5"/>
  <c r="E27" i="2"/>
  <c r="D27" i="2"/>
  <c r="C27" i="2"/>
  <c r="F119" i="1"/>
</calcChain>
</file>

<file path=xl/sharedStrings.xml><?xml version="1.0" encoding="utf-8"?>
<sst xmlns="http://schemas.openxmlformats.org/spreadsheetml/2006/main" count="765" uniqueCount="426">
  <si>
    <t>Portal de Remessas de Precatórios — Backlog Técnico Detalhado (Backend / Frontend) e Estimativas (DP, dev manual)</t>
  </si>
  <si>
    <t>Onda / HU</t>
  </si>
  <si>
    <t>Task ID</t>
  </si>
  <si>
    <t>Descrição da tarefa</t>
  </si>
  <si>
    <t>Camada</t>
  </si>
  <si>
    <t>Dificuldade</t>
  </si>
  <si>
    <t>DP</t>
  </si>
  <si>
    <t>Escopo</t>
  </si>
  <si>
    <t>▸ Onda 0 – Fundação  |  HU 13908  |  Escopo: MVP</t>
  </si>
  <si>
    <t>BE-08.1</t>
  </si>
  <si>
    <t>Definir arquitetura em camadas (Controller/Service/Repository) e estrutura de pacotes</t>
  </si>
  <si>
    <t>Backend</t>
  </si>
  <si>
    <t>Média</t>
  </si>
  <si>
    <t>MVP</t>
  </si>
  <si>
    <t>BE-08.2</t>
  </si>
  <si>
    <t>Modelar domínio (Tribunal, User, Remessa, AuditLog) e diagrama de entidades</t>
  </si>
  <si>
    <t>Alta</t>
  </si>
  <si>
    <t>BE-08.3</t>
  </si>
  <si>
    <t>Definir máquina de estados da Remessa (enum + transições válidas)</t>
  </si>
  <si>
    <t>BE-08.4</t>
  </si>
  <si>
    <t>Especificar contratos REST (OpenAPI) e padrão de erro (@ControllerAdvice)</t>
  </si>
  <si>
    <t>BE-08.5</t>
  </si>
  <si>
    <t>Setup projeto Spring Boot (Java 21) + Flyway + PostgreSQL + SpringDoc</t>
  </si>
  <si>
    <t>BE-08.6</t>
  </si>
  <si>
    <t>Migration inicial do schema (Flyway V1)</t>
  </si>
  <si>
    <t>DO-08.7</t>
  </si>
  <si>
    <t>Dockerfile (back/front) + docker-compose (db+serviços) + .env.example</t>
  </si>
  <si>
    <t>DevOps/Infra</t>
  </si>
  <si>
    <t>FE-08.8</t>
  </si>
  <si>
    <t>Scaffold Angular (Material + UIKit), estrutura de módulos, roteamento base</t>
  </si>
  <si>
    <t>Frontend</t>
  </si>
  <si>
    <t>▸ Onda 1 – Acesso  |  HU 13910  |  Escopo: MVP</t>
  </si>
  <si>
    <t>BE-10.1</t>
  </si>
  <si>
    <t>Entidades/repos User e Role; seed de ROLE_ADMIN inicial</t>
  </si>
  <si>
    <t>BE-10.2</t>
  </si>
  <si>
    <t>Spring Security: filtro JWT, UserDetailsService, config de rotas protegidas</t>
  </si>
  <si>
    <t>BE-10.3</t>
  </si>
  <si>
    <t>Autorização por perfil (@PreAuthorize) e matriz de permissões</t>
  </si>
  <si>
    <t>BE-10.4</t>
  </si>
  <si>
    <t>Multi-tenancy: filtro por tribunal_id do usuário autenticado em todas as consultas de Remessa</t>
  </si>
  <si>
    <t>FE-10.5</t>
  </si>
  <si>
    <t>AuthService + guarda de rota (CanActivate) por perfil</t>
  </si>
  <si>
    <t>FE-10.6</t>
  </si>
  <si>
    <t>Interceptor HTTP (Authorization: Bearer) + tratamento 401/403</t>
  </si>
  <si>
    <t>FE-10.7</t>
  </si>
  <si>
    <t>Diretiva/pipe para ocultar ações não permitidas na UI</t>
  </si>
  <si>
    <t>Baixa</t>
  </si>
  <si>
    <t>▸ Onda 1 – Acesso  |  HU 13909  |  Escopo: Futuro*</t>
  </si>
  <si>
    <t>BE-09.1</t>
  </si>
  <si>
    <t>Interface AuthenticationProvider (abstração para plugar OIDC futuramente)</t>
  </si>
  <si>
    <t>Futuro*</t>
  </si>
  <si>
    <t>BE-09.2</t>
  </si>
  <si>
    <t>Implementação local (e-mail/senha + BCrypt) do provider — endpoint /auth/login</t>
  </si>
  <si>
    <t>BE-09.3</t>
  </si>
  <si>
    <t>Geração/validação de JWT (assinatura, emissor, audiência, expiração)</t>
  </si>
  <si>
    <t>BE-09.4</t>
  </si>
  <si>
    <t>[Futuro] Cliente OIDC/OAuth2 PDPJ-Br: authorization code, validação de token, renovação</t>
  </si>
  <si>
    <t>Muito Alta</t>
  </si>
  <si>
    <t>BE-09.5</t>
  </si>
  <si>
    <t>[Futuro] Logout federado + tratamento de sessão expirada por ambiente</t>
  </si>
  <si>
    <t>FE-09.6</t>
  </si>
  <si>
    <t>Tela de login e fluxo de autenticação (MVP local)</t>
  </si>
  <si>
    <t>FE-09.7</t>
  </si>
  <si>
    <t>[Futuro] Redirecionamento para provedor SSO + callback</t>
  </si>
  <si>
    <t>▸ Onda 2 – Cadastros base  |  HU 13911  |  Escopo: MVP (mín.)</t>
  </si>
  <si>
    <t>BE-11.1</t>
  </si>
  <si>
    <t>CRUD de Tribunal (código/sigla únicos, soft-state situação)</t>
  </si>
  <si>
    <t>MVP (mín.)</t>
  </si>
  <si>
    <t>BE-11.2</t>
  </si>
  <si>
    <t>Regras: bloquear exclusão física com histórico; inativo não cria remessa</t>
  </si>
  <si>
    <t>FE-11.3</t>
  </si>
  <si>
    <t>Tela lista de tribunais (paginada, filtros)</t>
  </si>
  <si>
    <t>FE-11.4</t>
  </si>
  <si>
    <t>Formulário criar/editar tribunal + validações</t>
  </si>
  <si>
    <t>▸ Onda 2 – Cadastros base  |  HU 13912  |  Escopo: Futuro</t>
  </si>
  <si>
    <t>BE-12.1</t>
  </si>
  <si>
    <t>CRUD de Competência (formato AAAA-MM, unicidade)</t>
  </si>
  <si>
    <t>Futuro</t>
  </si>
  <si>
    <t>BE-12.2</t>
  </si>
  <si>
    <t>Janelas de abertura/prazo/retificação + regra de exceção administrativa</t>
  </si>
  <si>
    <t>FE-12.3</t>
  </si>
  <si>
    <t>Tela de parametrização de competências + status (aberta/bloqueada)</t>
  </si>
  <si>
    <t>▸ Onda 2 – Cadastros base  |  HU 13913  |  Escopo: Futuro</t>
  </si>
  <si>
    <t>BE-13.1</t>
  </si>
  <si>
    <t>CRUD de Layout + versionamento e vigência</t>
  </si>
  <si>
    <t>BE-13.2</t>
  </si>
  <si>
    <t>Definição de campos/tipos + associação layout↔competência</t>
  </si>
  <si>
    <t>BE-13.3</t>
  </si>
  <si>
    <t>Regra: impedir uso de versão não vigente; registrar versão na remessa</t>
  </si>
  <si>
    <t>FE-13.4</t>
  </si>
  <si>
    <t>Tela de layouts (lista, versões, upload de manual)</t>
  </si>
  <si>
    <t>▸ Onda 3 – Núcleo de remessa  |  HU 13914  |  Escopo: MVP</t>
  </si>
  <si>
    <t>BE-14.1</t>
  </si>
  <si>
    <t>Endpoint POST /remessas (tribunal do usuário, competência, versão inicial)</t>
  </si>
  <si>
    <t>BE-14.2</t>
  </si>
  <si>
    <t>Validações: competência disponível, layout vigente, id único, correlação_id</t>
  </si>
  <si>
    <t>BE-14.3</t>
  </si>
  <si>
    <t>Persistência em status inicial + registro de auditoria (criar)</t>
  </si>
  <si>
    <t>FE-14.4</t>
  </si>
  <si>
    <t>Tela 'Nova Remessa' (seleção competência; tribunal fixo do usuário)</t>
  </si>
  <si>
    <t>FE-14.5</t>
  </si>
  <si>
    <t>RemessaService (chamadas de API) + gestão de estado do formulário</t>
  </si>
  <si>
    <t>▸ Onda 3 – Núcleo de remessa  |  HU 13915  |  Escopo: MVP</t>
  </si>
  <si>
    <t>BE-15.1</t>
  </si>
  <si>
    <t>Serviço S3: geração de object key (tribunal/competência/remessa/versão)</t>
  </si>
  <si>
    <t>BE-15.2</t>
  </si>
  <si>
    <t>Geração de URL pré-assinada PUT (método/content-type/tamanho/expiração)</t>
  </si>
  <si>
    <t>BE-15.3</t>
  </si>
  <si>
    <t>Endpoint POST /remessas/{id}/upload-url + validação de posse (tribunal)</t>
  </si>
  <si>
    <t>BE-15.4</t>
  </si>
  <si>
    <t>Auditoria da geração de URL + rejeição de URL expirada/reuso</t>
  </si>
  <si>
    <t>▸ Onda 3 – Núcleo de remessa  |  HU 13916  |  Escopo: MVP</t>
  </si>
  <si>
    <t>BE-16.1</t>
  </si>
  <si>
    <t>Config CORS do bucket S3 (PUT apenas da origem do portal)</t>
  </si>
  <si>
    <t>FE-16.2</t>
  </si>
  <si>
    <t>Componente de upload: seleção de arquivo, validação de extensão .csv</t>
  </si>
  <si>
    <t>FE-16.3</t>
  </si>
  <si>
    <t>Validação de tamanho (≤50MB) + PUT direto ao S3 com barra de progresso</t>
  </si>
  <si>
    <t>FE-16.4</t>
  </si>
  <si>
    <t>Cancelamento antes da conclusão + renovação de URL expirada</t>
  </si>
  <si>
    <t>FE-16.5</t>
  </si>
  <si>
    <t>Mensagens de sucesso/erro + estados visuais do upload</t>
  </si>
  <si>
    <t>▸ Onda 3 – Núcleo de remessa  |  HU 13917  |  Escopo: MVP</t>
  </si>
  <si>
    <t>BE-17.1</t>
  </si>
  <si>
    <t>Endpoint POST /remessas/{id}/confirmar: HEAD no S3, valida tamanho</t>
  </si>
  <si>
    <t>BE-17.2</t>
  </si>
  <si>
    <t>Registro de ETag/checksum + atualização transacional de status</t>
  </si>
  <si>
    <t>BE-17.3</t>
  </si>
  <si>
    <t>Idempotência (confirmação duplicada) + trava de alteração pós-submissão</t>
  </si>
  <si>
    <t>FE-17.4</t>
  </si>
  <si>
    <t>Feedback de confirmação e transição de estado na UI</t>
  </si>
  <si>
    <t>▸ Onda 3 – Núcleo de remessa  |  HU 13918  |  Escopo: MVP</t>
  </si>
  <si>
    <t>BE-18.1</t>
  </si>
  <si>
    <t>Endpoint POST /remessas/{id}/cancelar (estados permitidos, motivo, auditoria)</t>
  </si>
  <si>
    <t>FE-18.2</t>
  </si>
  <si>
    <t>Ação de cancelar com diálogo de confirmação + campo motivo</t>
  </si>
  <si>
    <t>▸ Onda 4 – Consulta &amp; acompanhamento  |  HU 13921  |  Escopo: MVP</t>
  </si>
  <si>
    <t>BE-21.1</t>
  </si>
  <si>
    <t>Endpoint GET /remessas com filtros combináveis + paginação + ordenação</t>
  </si>
  <si>
    <t>BE-21.2</t>
  </si>
  <si>
    <t>Aplicar isolamento por tribunal (perfil nacional vê todos)</t>
  </si>
  <si>
    <t>FE-21.3</t>
  </si>
  <si>
    <t>Tela de histórico com tabela paginada + filtros</t>
  </si>
  <si>
    <t>FE-21.4</t>
  </si>
  <si>
    <t>Estado vazio, ordenação e apresentação de versões relacionadas</t>
  </si>
  <si>
    <t>▸ Onda 4 – Consulta &amp; acompanhamento  |  HU 13920  |  Escopo: Parcial</t>
  </si>
  <si>
    <t>BE-20.1</t>
  </si>
  <si>
    <t>Endpoint GET /remessas/{id} com etapa/datas/status atual</t>
  </si>
  <si>
    <t>Parcial</t>
  </si>
  <si>
    <t>FE-20.2</t>
  </si>
  <si>
    <t>Tela de detalhe/acompanhamento (timeline de status)</t>
  </si>
  <si>
    <t>FE-20.3</t>
  </si>
  <si>
    <t>Diferenciar status de negócio x falha técnica + última atualização</t>
  </si>
  <si>
    <t>▸ Onda 5 – Integração ETL  |  HU 13919  |  Escopo: Futuro</t>
  </si>
  <si>
    <t>BE-19.1</t>
  </si>
  <si>
    <t>Definir e versionar contrato de atualização (evento/consulta)</t>
  </si>
  <si>
    <t>BE-19.2</t>
  </si>
  <si>
    <t>Receptor de eventos (SQS/webhook) + autenticação de origem</t>
  </si>
  <si>
    <t>BE-19.3</t>
  </si>
  <si>
    <t>Correlação execução↔remessa + atualização de etapa/status</t>
  </si>
  <si>
    <t>BE-19.4</t>
  </si>
  <si>
    <t>Idempotência, eventos fora de ordem, não-regressão de status</t>
  </si>
  <si>
    <t>BE-19.5</t>
  </si>
  <si>
    <t>Persistência de histórico de execuções + alertas de falha</t>
  </si>
  <si>
    <t>▸ Onda 5 – Integração ETL  |  HU 13922  |  Escopo: Futuro</t>
  </si>
  <si>
    <t>BE-22.1</t>
  </si>
  <si>
    <t>Endpoint de resultados (recebidos/aceitos/rejeitados, tempos, versões)</t>
  </si>
  <si>
    <t>FE-22.2</t>
  </si>
  <si>
    <t>Tela de resultado consolidado (cards + % aproveitamento)</t>
  </si>
  <si>
    <t>▸ Onda 5 – Integração ETL  |  HU 13923  |  Escopo: Futuro</t>
  </si>
  <si>
    <t>BE-23.1</t>
  </si>
  <si>
    <t>Endpoint de inconsistências (filtro por código/severidade/campo, paginado)</t>
  </si>
  <si>
    <t>FE-23.2</t>
  </si>
  <si>
    <t>Tela de inconsistências (tabela paginada, filtros, mascaramento)</t>
  </si>
  <si>
    <t>▸ Onda 5 – Integração ETL  |  HU 13924  |  Escopo: Futuro</t>
  </si>
  <si>
    <t>BE-24.1</t>
  </si>
  <si>
    <t>Geração/entrega do relatório CSV (URL pré-assinada, encoding correto)</t>
  </si>
  <si>
    <t>FE-24.2</t>
  </si>
  <si>
    <t>Ação de download autenticado + feedback</t>
  </si>
  <si>
    <t>▸ Onda 5 – Integração ETL  |  HU 13925  |  Escopo: Futuro</t>
  </si>
  <si>
    <t>BE-25.1</t>
  </si>
  <si>
    <t>Nova versão de remessa (vínculo remessa_pai, preservar histórico)</t>
  </si>
  <si>
    <t>BE-25.2</t>
  </si>
  <si>
    <t>Nova URL pré-assinada + submeter nova execução + justificativa</t>
  </si>
  <si>
    <t>FE-25.3</t>
  </si>
  <si>
    <t>Fluxo de reenvio + visualização do histórico de versões</t>
  </si>
  <si>
    <t>▸ Onda 6 – Transversais  |  HU 13926  |  Escopo: MVP (básica)</t>
  </si>
  <si>
    <t>BE-26.1</t>
  </si>
  <si>
    <t>Entidade AuditLog + serviço de auditoria (aspecto/interceptor)</t>
  </si>
  <si>
    <t>MVP (básica)</t>
  </si>
  <si>
    <t>BE-26.2</t>
  </si>
  <si>
    <t>Registrar eventos-chave (login, criar, URL, confirmar, cancelar)</t>
  </si>
  <si>
    <t>BE-26.3</t>
  </si>
  <si>
    <t>Endpoint de consulta de auditoria (restrito a perfil autorizado)</t>
  </si>
  <si>
    <t>FE-26.4</t>
  </si>
  <si>
    <t>[Futuro] Tela de consulta de trilha de auditoria</t>
  </si>
  <si>
    <t>▸ Onda 6 – Transversais  |  HU 13928  |  Escopo: MVP (mín.)</t>
  </si>
  <si>
    <t>BE-28.1</t>
  </si>
  <si>
    <t>Endpoints administrativos agregando tribunais/competências/layouts/limites</t>
  </si>
  <si>
    <t>FE-28.2</t>
  </si>
  <si>
    <t>Shell do painel administrativo + navegação por seções</t>
  </si>
  <si>
    <t>FE-28.3</t>
  </si>
  <si>
    <t>Consulta de remessas nacionais + falhas de integração</t>
  </si>
  <si>
    <t>▸ Onda 6 – Transversais  |  HU 13927  |  Escopo: Futuro</t>
  </si>
  <si>
    <t>BE-27.1</t>
  </si>
  <si>
    <t>Serviço de notificação (eventos configuráveis, dedup, registro de envio)</t>
  </si>
  <si>
    <t>BE-27.2</t>
  </si>
  <si>
    <t>Integração com canal (e-mail) + template sem dados sensíveis</t>
  </si>
  <si>
    <t>FE-27.3</t>
  </si>
  <si>
    <t>Central de notificações no portal + preferências</t>
  </si>
  <si>
    <t>▸ Onda 6 – Transversais  |  HU 13929  |  Escopo: Futuro</t>
  </si>
  <si>
    <t>BE-29.1</t>
  </si>
  <si>
    <t>Correlation-id, logs estruturados, métricas por endpoint</t>
  </si>
  <si>
    <t>BE-29.2</t>
  </si>
  <si>
    <t>Health checks + alertas de falhas críticas</t>
  </si>
  <si>
    <t>DO-29.3</t>
  </si>
  <si>
    <t>Dashboard operacional (ex.: Grafana/CloudWatch) por ambiente</t>
  </si>
  <si>
    <t>▸ Onda 7 – Hardening &amp; validação  |  HU 13930  |  Escopo: MVP (subconj.)</t>
  </si>
  <si>
    <t>BE-30.1</t>
  </si>
  <si>
    <t>Hardening: headers de segurança, CORS, validação de entrada, anti-injeção</t>
  </si>
  <si>
    <t>MVP (subconj.)</t>
  </si>
  <si>
    <t>BE-30.2</t>
  </si>
  <si>
    <t>Rate limiting + gestão de segredos + revisão de dependências vulneráveis</t>
  </si>
  <si>
    <t>BE-30.3</t>
  </si>
  <si>
    <t>Testes de autorização (acesso horizontal entre tribunais) com evidências</t>
  </si>
  <si>
    <t>▸ Onda 7 – Hardening &amp; validação  |  HU 13931  |  Escopo: Futuro</t>
  </si>
  <si>
    <t>BE-31.1</t>
  </si>
  <si>
    <t>Preparar cenários de carga (JMeter): acessos, URLs, histórico, upload no limite</t>
  </si>
  <si>
    <t>BE-31.2</t>
  </si>
  <si>
    <t>Executar e analisar (volume, duração, taxa de erro) + documentar gargalos</t>
  </si>
  <si>
    <t>TOTAL GERAL</t>
  </si>
  <si>
    <t>Resumo de Esforço por HU e Camada (DP)</t>
  </si>
  <si>
    <t>HU</t>
  </si>
  <si>
    <t>Backend (DP)</t>
  </si>
  <si>
    <t>Frontend (DP)</t>
  </si>
  <si>
    <t>DevOps (DP)</t>
  </si>
  <si>
    <t>13908</t>
  </si>
  <si>
    <t>13910</t>
  </si>
  <si>
    <t>13909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</si>
  <si>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</si>
  <si>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</si>
  <si>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</si>
  <si>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</si>
  <si>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</si>
  <si>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</si>
  <si>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</si>
  <si>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</si>
  <si>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13921</t>
  </si>
  <si>
    <t>13920</t>
  </si>
  <si>
    <t>13919</t>
  </si>
  <si>
    <t>13922</t>
  </si>
  <si>
    <t>13923</t>
  </si>
  <si>
    <t>13924</t>
  </si>
  <si>
    <t>13925</t>
  </si>
  <si>
    <t>13926</t>
  </si>
  <si>
    <t>13928</t>
  </si>
  <si>
    <t>13927</t>
  </si>
  <si>
    <t>13929</t>
  </si>
  <si>
    <t>13930</t>
  </si>
  <si>
    <t>13931</t>
  </si>
  <si>
    <t>TOTAL</t>
  </si>
  <si>
    <t>DP = dia-pessoa (dev pleno/sênior, ~6h produtivas), sem agente de código. Não inclui overhead de projeto (review/QA/reuniões ~+30%). Tarefas marcadas [Futuro] dentro de HUs do MVP não entram na conta do MVP.</t>
  </si>
  <si>
    <t>Cronograma por Sprints — 3 Desenvolvedores (sprints de 2 semanas · DP = dia-pessoa)</t>
  </si>
  <si>
    <t>Dev / Papel</t>
  </si>
  <si>
    <t>Tarefas alocadas</t>
  </si>
  <si>
    <t>Σ Sprint</t>
  </si>
  <si>
    <t>Sprint 1 · (Sem 1-2) · Fundação + Acesso</t>
  </si>
  <si>
    <t>Dev A – Backend Sr</t>
  </si>
  <si>
    <t>BE-08.1/2/3/4 Arquitetura, domínio, estados, contratos OpenAPI</t>
  </si>
  <si>
    <t>BE-08.5/6 Setup Spring Boot 21 + Flyway + migration V1</t>
  </si>
  <si>
    <t>BE-10.1 User/Role + seed ADMIN</t>
  </si>
  <si>
    <t>BE-10.2 Spring Security: filtro JWT + rotas</t>
  </si>
  <si>
    <t>Dev B – Backend Pl</t>
  </si>
  <si>
    <t>DO-08.7 Dockerfile + docker-compose + .env.example</t>
  </si>
  <si>
    <t>BE-09.1 Interface AuthenticationProvider</t>
  </si>
  <si>
    <t>BE-09.2 Provider local (e-mail/senha + BCrypt)</t>
  </si>
  <si>
    <t>BE-09.3 Geração/validação de JWT</t>
  </si>
  <si>
    <t>BE-10.3 Autorização por perfil (@PreAuthorize)</t>
  </si>
  <si>
    <t>BE-10.4 Multi-tenancy (filtro tribunal_id)</t>
  </si>
  <si>
    <t>Dev C – Frontend</t>
  </si>
  <si>
    <t>FE-08.8 Scaffold Angular (Material+UIKit)+rotas</t>
  </si>
  <si>
    <t>FE-09.6 Tela de login (MVP local)</t>
  </si>
  <si>
    <t>FE-10.5 AuthService + guarda de rota</t>
  </si>
  <si>
    <t>FE-10.6 Interceptor Bearer + 401/403</t>
  </si>
  <si>
    <t>FE-10.7 Ocultar ações não permitidas</t>
  </si>
  <si>
    <t>FE-11.3 Tela lista de tribunais</t>
  </si>
  <si>
    <t>TOTAL DO SPRINT</t>
  </si>
  <si>
    <t>/ 24 cap.</t>
  </si>
  <si>
    <t>Sprint 2 · (Sem 3-4) · Cadastros + início Remessa</t>
  </si>
  <si>
    <t>BE-11.1/2 CRUD Tribunal + regras soft-state</t>
  </si>
  <si>
    <t>BE-14.1/2/3 POST /remessas + validações + auditoria</t>
  </si>
  <si>
    <t>BE-15.1 Serviço S3: geração de object key</t>
  </si>
  <si>
    <t>BE-15.2 URL pré-assinada PUT (método/tamanho/exp.)</t>
  </si>
  <si>
    <t>BE-26.1/2 AuditLog + serviço + eventos-chave</t>
  </si>
  <si>
    <t>BE-28.1 Endpoints administrativos agregados</t>
  </si>
  <si>
    <t>BE-21.1/2 GET /remessas filtros+paginação+isolamento</t>
  </si>
  <si>
    <t>FE-11.4 Formulário criar/editar tribunal</t>
  </si>
  <si>
    <t>FE-14.4/5 Tela Nova Remessa + RemessaService</t>
  </si>
  <si>
    <t>FE-28.2 Shell do painel administrativo</t>
  </si>
  <si>
    <t>FE-28.3 Consulta de remessas nacionais</t>
  </si>
  <si>
    <t>FE-21.3 Tela de histórico (tabela paginada)</t>
  </si>
  <si>
    <t>Sprint 3 · (Sem 5-6) · Upload S3 + Confirmação  ➜ FECHA MVP</t>
  </si>
  <si>
    <t>BE-15.3/4 Endpoint upload-url + auditoria/expiração</t>
  </si>
  <si>
    <t>DO-16.1 Config CORS do bucket S3</t>
  </si>
  <si>
    <t>BE-17.1/2/3 Confirmar: HEAD+ETag+status+idempotência</t>
  </si>
  <si>
    <t>BE-18.1 Cancelamento de remessa</t>
  </si>
  <si>
    <t>BE-20.1 GET /remessas/{id} (detalhe)</t>
  </si>
  <si>
    <t>BE-26.3 Endpoint de consulta de auditoria</t>
  </si>
  <si>
    <t>BE-30.1 Hardening (headers/CORS/anti-injeção)</t>
  </si>
  <si>
    <t>BE-30.2 Rate limit + segredos + deps vulneráveis</t>
  </si>
  <si>
    <t>BE-30.3 Testes de autorização (acesso horizontal)</t>
  </si>
  <si>
    <t>FE-16.2/3 Seleção .csv + PUT direto S3 + progresso</t>
  </si>
  <si>
    <t>FE-16.4/5 Cancelamento/renovação URL + mensagens</t>
  </si>
  <si>
    <t>FE-17.4 Feedback de confirmação</t>
  </si>
  <si>
    <t>FE-18.2 Diálogo de cancelamento + motivo</t>
  </si>
  <si>
    <t>FE-20.2/3 Timeline de status + negócio×falha</t>
  </si>
  <si>
    <t>🏁 MARCO: MVP operacional (login, criação, upload S3, confirmação, histórico, cancelamento, auditoria e segurança básicas)</t>
  </si>
  <si>
    <t>Sprint 4 · (Sem 7-8) · SSO real + Competências/Layouts</t>
  </si>
  <si>
    <t>BE-09.4 Cliente OIDC/OAuth2 PDPJ-Br</t>
  </si>
  <si>
    <t>BE-09.5 Logout federado + sessão expirada</t>
  </si>
  <si>
    <t>BE-12.1/2 CRUD Competência + janelas/exceção</t>
  </si>
  <si>
    <t>BE-13.1/2/3 CRUD Layout + versão/vigência/associação</t>
  </si>
  <si>
    <t>BE-19.1 Definir/versionar contrato ETL</t>
  </si>
  <si>
    <t>BE-19.2 Receptor de eventos + auth de origem</t>
  </si>
  <si>
    <t>FE-09.7 Redirecionamento SSO + callback</t>
  </si>
  <si>
    <t>FE-12.3 Tela de parametrização de competências</t>
  </si>
  <si>
    <t>FE-13.4 Tela de layouts (versões/manual)</t>
  </si>
  <si>
    <t>FE-26.4 Tela de trilha de auditoria</t>
  </si>
  <si>
    <t>FE-22.2 Tela de resultado consolidado</t>
  </si>
  <si>
    <t>⚠️ Início da Fase 2 — depende de: SSO PDPJ-Br disponível + contrato AWS Glue definido</t>
  </si>
  <si>
    <t>Sprint 5 · (Sem 9-10) · Integração ETL (núcleo)</t>
  </si>
  <si>
    <t>BE-19.3 Correlação execução↔remessa + status</t>
  </si>
  <si>
    <t>BE-19.4 Idempotência + eventos fora de ordem</t>
  </si>
  <si>
    <t>BE-19.5 Histórico de execuções + alertas</t>
  </si>
  <si>
    <t>BE-22.1 Endpoint de resultados</t>
  </si>
  <si>
    <t>BE-23.1 Endpoint de inconsistências</t>
  </si>
  <si>
    <t>BE-24.1 Relatório CSV + URL pré-assinada</t>
  </si>
  <si>
    <t>BE-25.1/2 Versionamento + nova URL/execução</t>
  </si>
  <si>
    <t>BE-29.1 Correlation-id + logs + métricas</t>
  </si>
  <si>
    <t>FE-23.2 Tela de inconsistências (paginada)</t>
  </si>
  <si>
    <t>FE-24.2 Download autenticado do relatório</t>
  </si>
  <si>
    <t>FE-25.3 Fluxo de reenvio + histórico de versões</t>
  </si>
  <si>
    <t>Sprint 6 · (Sem 11-12) · Notif. + Observ. + Performance</t>
  </si>
  <si>
    <t>BE-27.1 Serviço de notificação (dedup/registro)</t>
  </si>
  <si>
    <t>BE-27.2 Integração canal e-mail + template</t>
  </si>
  <si>
    <t>BE-31.2 Executar/analisar carga + gargalos</t>
  </si>
  <si>
    <t>BE-29.2 Health checks + alertas críticos</t>
  </si>
  <si>
    <t>DO-29.3 Dashboard operacional por ambiente</t>
  </si>
  <si>
    <t>DO-31.1 Cenários de carga (JMeter)</t>
  </si>
  <si>
    <t>Buffer: estabilização/bugfix</t>
  </si>
  <si>
    <t>FE-27.3 Central de notificações + preferências</t>
  </si>
  <si>
    <t>Buffer: polish, acessibilidade, bugfix</t>
  </si>
  <si>
    <t>🏁 MARCO: Solução completa homologável (24 HUs)</t>
  </si>
  <si>
    <t>Gantt — Distribuição das HUs por Sprint</t>
  </si>
  <si>
    <t>Fase</t>
  </si>
  <si>
    <t>S1</t>
  </si>
  <si>
    <t>S2</t>
  </si>
  <si>
    <t>S3</t>
  </si>
  <si>
    <t>S4</t>
  </si>
  <si>
    <t>S5</t>
  </si>
  <si>
    <t>S6</t>
  </si>
  <si>
    <t>O0 · 13908 Arquitetura/domínio</t>
  </si>
  <si>
    <t>O1 · 13910 Perfis/multi-tenancy</t>
  </si>
  <si>
    <t>O1 · 13909 Auth (local→SSO)</t>
  </si>
  <si>
    <t>MVP/Fut</t>
  </si>
  <si>
    <t>O2 · 13911 Tribunais</t>
  </si>
  <si>
    <t>O2 · 13912 Competências</t>
  </si>
  <si>
    <t>Fut</t>
  </si>
  <si>
    <t>O2 · 13913 Layouts</t>
  </si>
  <si>
    <t>O3 · 13914 Criação de remessa</t>
  </si>
  <si>
    <t>O3 · 13915 URL pré-assinada</t>
  </si>
  <si>
    <t>O3 · 13916 Upload direto S3</t>
  </si>
  <si>
    <t>O3 · 13917 Confirmação/integridade</t>
  </si>
  <si>
    <t>O3 · 13918 Cancelamento</t>
  </si>
  <si>
    <t>O4 · 13921 Histórico/filtros</t>
  </si>
  <si>
    <t>O4 · 13920 Acompanhamento</t>
  </si>
  <si>
    <t>O5 · 13919 Integração ETL</t>
  </si>
  <si>
    <t>O5 · 13922 Resultados</t>
  </si>
  <si>
    <t>O5 · 13923 Inconsistências</t>
  </si>
  <si>
    <t>O5 · 13924 Download relatório</t>
  </si>
  <si>
    <t>O5 · 13925 Reenvio/versionamento</t>
  </si>
  <si>
    <t>O6 · 13926 Auditoria</t>
  </si>
  <si>
    <t>O6 · 13928 Painel admin</t>
  </si>
  <si>
    <t>O6 · 13927 Notificações</t>
  </si>
  <si>
    <t>O6 · 13929 Observabilidade</t>
  </si>
  <si>
    <t>O7 · 13930 Segurança</t>
  </si>
  <si>
    <t>O7 · 13931 Performance</t>
  </si>
  <si>
    <t>Legenda:</t>
  </si>
  <si>
    <t>S1-S3 = Fase 1 (MVP · ~6 semanas) | S4-S6 = Fase 2 (~6 semanas, Onda 5 gated pelo contrato ETL/Glue)</t>
  </si>
  <si>
    <t>Capacidade por Sprint e Premissas</t>
  </si>
  <si>
    <t>Sprint</t>
  </si>
  <si>
    <t>Alocado (DP)</t>
  </si>
  <si>
    <t>Capacidade (DP)</t>
  </si>
  <si>
    <t>Ocupação</t>
  </si>
  <si>
    <t>Observação</t>
  </si>
  <si>
    <t>Sprint 1</t>
  </si>
  <si>
    <t>Ramp-up / setup do ambiente</t>
  </si>
  <si>
    <t>Sprint 2</t>
  </si>
  <si>
    <t>Cadastros + fundação da remessa</t>
  </si>
  <si>
    <t>Sprint 3</t>
  </si>
  <si>
    <t>Fecha o MVP · buffer para integração</t>
  </si>
  <si>
    <t>Sprint 4</t>
  </si>
  <si>
    <t>Início Fase 2 (SSO/ETL) — gated externamente</t>
  </si>
  <si>
    <t>Sprint 5</t>
  </si>
  <si>
    <t>Núcleo da integração ETL</t>
  </si>
  <si>
    <t>Sprint 6</t>
  </si>
  <si>
    <t>Notif./observ./performance + estabilização</t>
  </si>
  <si>
    <t>Premissas</t>
  </si>
  <si>
    <t>Time</t>
  </si>
  <si>
    <t>3 devs: A (Backend Sr + DevOps/Segurança), B (Backend Pleno), C (Frontend/fullstack-leaning).</t>
  </si>
  <si>
    <t>Cadência</t>
  </si>
  <si>
    <t>Sprints de 2 semanas; velocidade efetiva ~8 DP/dev/sprint (cerimônias, review, QA e correções já embutidos).</t>
  </si>
  <si>
    <t>Capacidade</t>
  </si>
  <si>
    <t>~24 DP por sprint (ocupação alvo 70-85% para absorver imprevistos).</t>
  </si>
  <si>
    <t>Fase 1 – MVP</t>
  </si>
  <si>
    <t>Sprints 1 a 3 (~6 semanas): login local+JWT, cadastro mínimo, criação/upload S3/confirmação/cancelamento de remessa, histórico, auditoria e segurança básicas.</t>
  </si>
  <si>
    <t>Fase 2</t>
  </si>
  <si>
    <t>Sprints 4 a 6 (~6 semanas): SSO PDPJ-Br, competências/layouts, integração ETL, resultados/inconsistências/reenvio, notificações, observabilidade e performance.</t>
  </si>
  <si>
    <t>Gates externos</t>
  </si>
  <si>
    <t>BE-09.4 (SSO) depende da disponibilidade do PDPJ-Br; toda a Onda 5 depende do contrato da plataforma AWS Glue. Se atrasarem, a Fase 2 escorrega proporcionalmente.</t>
  </si>
  <si>
    <t>Caminho crítico</t>
  </si>
  <si>
    <t>Fundação (13908) ➜ Acesso/Multi-tenancy (13910) ➜ Núcleo de remessa (13914→13915→13916→13917). Priorizar Dev A nessas tarefas.</t>
  </si>
  <si>
    <t>Risco de gargalo</t>
  </si>
  <si>
    <t>Frontend concentrado nas Sprints 3 e 5; se necessário, Dev B apoia o front nessas janelas.</t>
  </si>
  <si>
    <t>Prazo total</t>
  </si>
  <si>
    <t>~12 semanas (3 meses) para a solução completa; MVP homologável ao fim da Sprint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</si>
</sst>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b/>
      <sz val="12"/>
      <color rgb="FFFFFFFF"/>
      <name val="Arial"/>
      <charset val="1"/>
    </font>
    <font>
      <i/>
      <sz val="9"/>
      <name val="Arial"/>
      <charset val="1"/>
    </font>
    <font>
      <b/>
      <sz val="11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10"/>
      <color rgb="FF843C0C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496"/>
        <bgColor rgb="FF1F4E79"/>
      </patternFill>
    </fill>
    <fill>
      <patternFill patternType="solid">
        <fgColor rgb="FFD9E1F2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rgb="FFFFEB9C"/>
        <bgColor rgb="FFFFF2CC"/>
      </patternFill>
    </fill>
    <fill>
      <patternFill patternType="solid">
        <fgColor rgb="FFF4B183"/>
        <bgColor rgb="FFBFBFBF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2F0D9"/>
      </patternFill>
    </fill>
    <fill>
      <patternFill patternType="solid">
        <fgColor rgb="FFC6EFCE"/>
        <bgColor rgb="FFE2F0D9"/>
      </patternFill>
    </fill>
    <fill>
      <patternFill patternType="solid">
        <fgColor rgb="FFFF7C80"/>
        <bgColor rgb="FFED7D31"/>
      </patternFill>
    </fill>
    <fill>
      <patternFill patternType="solid">
        <fgColor rgb="FFFFF2CC"/>
        <bgColor rgb="FFFCE4D6"/>
      </patternFill>
    </fill>
    <fill>
      <patternFill patternType="solid">
        <fgColor rgb="FF1F4E79"/>
        <bgColor rgb="FF2E5496"/>
      </patternFill>
    </fill>
    <fill>
      <patternFill patternType="solid">
        <fgColor rgb="FFE2F0D9"/>
        <bgColor rgb="FFE2EFDA"/>
      </patternFill>
    </fill>
    <fill>
      <patternFill patternType="solid">
        <fgColor rgb="FF4472C4"/>
        <bgColor rgb="FF666699"/>
      </patternFill>
    </fill>
    <fill>
      <patternFill patternType="solid">
        <fgColor rgb="FFED7D31"/>
        <bgColor rgb="FFFF7C8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2" xfId="0" applyFont="1" applyBorder="1" applyAlignment="1">
      <alignment vertical="top" wrapText="1"/>
    </xf>
    <xf numFmtId="0" fontId="12" fillId="12" borderId="2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9" fillId="13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6" fillId="12" borderId="1" xfId="0" applyFont="1" applyFill="1" applyBorder="1" applyAlignment="1">
      <alignment horizontal="center" vertical="center" wrapText="1"/>
    </xf>
    <xf numFmtId="0" fontId="6" fillId="12" borderId="0" xfId="0" applyFont="1" applyFill="1"/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15" borderId="1" xfId="0" applyFill="1" applyBorder="1"/>
    <xf numFmtId="0" fontId="0" fillId="0" borderId="1" xfId="0" applyBorder="1"/>
    <xf numFmtId="0" fontId="0" fillId="16" borderId="1" xfId="0" applyFill="1" applyBorder="1"/>
    <xf numFmtId="0" fontId="10" fillId="0" borderId="0" xfId="0" applyFont="1"/>
    <xf numFmtId="0" fontId="8" fillId="0" borderId="0" xfId="0" applyFont="1"/>
    <xf numFmtId="0" fontId="5" fillId="0" borderId="1" xfId="0" applyFont="1" applyBorder="1" applyAlignment="1">
      <alignment horizontal="left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9" fontId="6" fillId="12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7C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0D9"/>
      <rgbColor rgb="FFC6EFCE"/>
      <rgbColor rgb="FFFFEB9C"/>
      <rgbColor rgb="FFE2EFDA"/>
      <rgbColor rgb="FFFCE4D6"/>
      <rgbColor rgb="FFCC99FF"/>
      <rgbColor rgb="FFF4B183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843C0C"/>
      <rgbColor rgb="FF993366"/>
      <rgbColor rgb="FF2E5496"/>
      <rgbColor rgb="FF1F4E7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9"/>
  <sheetViews>
    <sheetView tabSelected="1" zoomScaleNormal="100" workbookViewId="0">
      <pane ySplit="2" topLeftCell="A3" activePane="bottomLeft" state="frozen"/>
      <selection pane="bottomLeft"/>
    </sheetView>
  </sheetViews>
  <sheetFormatPr defaultColWidth="8.7109375" defaultRowHeight="15"/>
  <cols>
    <col min="1" max="1" width="34" customWidth="1"/>
    <col min="2" max="2" width="12" customWidth="1"/>
    <col min="3" max="3" width="58" customWidth="1"/>
    <col min="4" max="4" width="14" customWidth="1"/>
    <col min="5" max="5" width="12" customWidth="1"/>
    <col min="6" max="6" width="7" customWidth="1"/>
    <col min="7" max="7" width="16" customWidth="1"/>
  </cols>
  <sheetData>
    <row r="1" spans="1:7" ht="37.5" customHeight="1">
      <c r="A1" s="13" t="s">
        <v>0</v>
      </c>
      <c r="B1" s="13"/>
      <c r="C1" s="13"/>
      <c r="D1" s="13"/>
      <c r="E1" s="13"/>
      <c r="F1" s="13"/>
      <c r="G1" s="13"/>
    </row>
    <row r="2" spans="1:7" ht="25.5" customHeight="1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</row>
    <row r="3" spans="1:7" ht="15" customHeight="1">
      <c r="A3" s="12" t="s">
        <v>8</v>
      </c>
      <c r="B3" s="12"/>
      <c r="C3" s="12"/>
      <c r="D3" s="12"/>
      <c r="E3" s="12"/>
      <c r="F3" s="12"/>
      <c r="G3" s="12"/>
    </row>
    <row r="4" spans="1:7" ht="23.25" customHeight="1">
      <c r="A4" s="15"/>
      <c r="B4" s="15" t="s">
        <v>9</v>
      </c>
      <c r="C4" s="16" t="s">
        <v>10</v>
      </c>
      <c r="D4" s="17" t="s">
        <v>11</v>
      </c>
      <c r="E4" s="18" t="s">
        <v>12</v>
      </c>
      <c r="F4" s="15">
        <v>1</v>
      </c>
      <c r="G4" s="15" t="s">
        <v>13</v>
      </c>
    </row>
    <row r="5" spans="1:7" ht="23.25" customHeight="1">
      <c r="A5" s="15"/>
      <c r="B5" s="15" t="s">
        <v>14</v>
      </c>
      <c r="C5" s="16" t="s">
        <v>15</v>
      </c>
      <c r="D5" s="17" t="s">
        <v>11</v>
      </c>
      <c r="E5" s="19" t="s">
        <v>16</v>
      </c>
      <c r="F5" s="15">
        <v>1</v>
      </c>
      <c r="G5" s="15" t="s">
        <v>13</v>
      </c>
    </row>
    <row r="6" spans="1:7" ht="15" customHeight="1">
      <c r="A6" s="15"/>
      <c r="B6" s="15" t="s">
        <v>17</v>
      </c>
      <c r="C6" s="16" t="s">
        <v>18</v>
      </c>
      <c r="D6" s="17" t="s">
        <v>11</v>
      </c>
      <c r="E6" s="19" t="s">
        <v>16</v>
      </c>
      <c r="F6" s="15">
        <v>0.5</v>
      </c>
      <c r="G6" s="15" t="s">
        <v>13</v>
      </c>
    </row>
    <row r="7" spans="1:7" ht="23.25" customHeight="1">
      <c r="A7" s="15"/>
      <c r="B7" s="15" t="s">
        <v>19</v>
      </c>
      <c r="C7" s="16" t="s">
        <v>20</v>
      </c>
      <c r="D7" s="17" t="s">
        <v>11</v>
      </c>
      <c r="E7" s="18" t="s">
        <v>12</v>
      </c>
      <c r="F7" s="15">
        <v>1</v>
      </c>
      <c r="G7" s="15" t="s">
        <v>13</v>
      </c>
    </row>
    <row r="8" spans="1:7" ht="23.25" customHeight="1">
      <c r="A8" s="15"/>
      <c r="B8" s="15" t="s">
        <v>21</v>
      </c>
      <c r="C8" s="16" t="s">
        <v>22</v>
      </c>
      <c r="D8" s="17" t="s">
        <v>11</v>
      </c>
      <c r="E8" s="18" t="s">
        <v>12</v>
      </c>
      <c r="F8" s="15">
        <v>0.5</v>
      </c>
      <c r="G8" s="15" t="s">
        <v>13</v>
      </c>
    </row>
    <row r="9" spans="1:7" ht="15" customHeight="1">
      <c r="A9" s="15"/>
      <c r="B9" s="15" t="s">
        <v>23</v>
      </c>
      <c r="C9" s="16" t="s">
        <v>24</v>
      </c>
      <c r="D9" s="17" t="s">
        <v>11</v>
      </c>
      <c r="E9" s="18" t="s">
        <v>12</v>
      </c>
      <c r="F9" s="15">
        <v>0.5</v>
      </c>
      <c r="G9" s="15" t="s">
        <v>13</v>
      </c>
    </row>
    <row r="10" spans="1:7" ht="15" customHeight="1">
      <c r="A10" s="15"/>
      <c r="B10" s="15" t="s">
        <v>25</v>
      </c>
      <c r="C10" s="16" t="s">
        <v>26</v>
      </c>
      <c r="D10" s="20" t="s">
        <v>27</v>
      </c>
      <c r="E10" s="18" t="s">
        <v>12</v>
      </c>
      <c r="F10" s="15">
        <v>1</v>
      </c>
      <c r="G10" s="15" t="s">
        <v>13</v>
      </c>
    </row>
    <row r="11" spans="1:7" ht="23.25" customHeight="1">
      <c r="A11" s="15"/>
      <c r="B11" s="15" t="s">
        <v>28</v>
      </c>
      <c r="C11" s="16" t="s">
        <v>29</v>
      </c>
      <c r="D11" s="21" t="s">
        <v>30</v>
      </c>
      <c r="E11" s="18" t="s">
        <v>12</v>
      </c>
      <c r="F11" s="15">
        <v>1</v>
      </c>
      <c r="G11" s="15" t="s">
        <v>13</v>
      </c>
    </row>
    <row r="12" spans="1:7" ht="15" customHeight="1">
      <c r="A12" s="12" t="s">
        <v>31</v>
      </c>
      <c r="B12" s="12"/>
      <c r="C12" s="12"/>
      <c r="D12" s="12"/>
      <c r="E12" s="12"/>
      <c r="F12" s="12"/>
      <c r="G12" s="12"/>
    </row>
    <row r="13" spans="1:7" ht="15" customHeight="1">
      <c r="A13" s="15"/>
      <c r="B13" s="15" t="s">
        <v>32</v>
      </c>
      <c r="C13" s="16" t="s">
        <v>33</v>
      </c>
      <c r="D13" s="17" t="s">
        <v>11</v>
      </c>
      <c r="E13" s="18" t="s">
        <v>12</v>
      </c>
      <c r="F13" s="15">
        <v>0.5</v>
      </c>
      <c r="G13" s="15" t="s">
        <v>13</v>
      </c>
    </row>
    <row r="14" spans="1:7" ht="23.25" customHeight="1">
      <c r="A14" s="15"/>
      <c r="B14" s="15" t="s">
        <v>34</v>
      </c>
      <c r="C14" s="16" t="s">
        <v>35</v>
      </c>
      <c r="D14" s="17" t="s">
        <v>11</v>
      </c>
      <c r="E14" s="19" t="s">
        <v>16</v>
      </c>
      <c r="F14" s="15">
        <v>1.5</v>
      </c>
      <c r="G14" s="15" t="s">
        <v>13</v>
      </c>
    </row>
    <row r="15" spans="1:7" ht="15" customHeight="1">
      <c r="A15" s="15"/>
      <c r="B15" s="15" t="s">
        <v>36</v>
      </c>
      <c r="C15" s="16" t="s">
        <v>37</v>
      </c>
      <c r="D15" s="17" t="s">
        <v>11</v>
      </c>
      <c r="E15" s="19" t="s">
        <v>16</v>
      </c>
      <c r="F15" s="15">
        <v>1</v>
      </c>
      <c r="G15" s="15" t="s">
        <v>13</v>
      </c>
    </row>
    <row r="16" spans="1:7" ht="23.25" customHeight="1">
      <c r="A16" s="15"/>
      <c r="B16" s="15" t="s">
        <v>38</v>
      </c>
      <c r="C16" s="16" t="s">
        <v>39</v>
      </c>
      <c r="D16" s="17" t="s">
        <v>11</v>
      </c>
      <c r="E16" s="19" t="s">
        <v>16</v>
      </c>
      <c r="F16" s="15">
        <v>1</v>
      </c>
      <c r="G16" s="15" t="s">
        <v>13</v>
      </c>
    </row>
    <row r="17" spans="1:7" ht="15" customHeight="1">
      <c r="A17" s="15"/>
      <c r="B17" s="15" t="s">
        <v>40</v>
      </c>
      <c r="C17" s="16" t="s">
        <v>41</v>
      </c>
      <c r="D17" s="21" t="s">
        <v>30</v>
      </c>
      <c r="E17" s="18" t="s">
        <v>12</v>
      </c>
      <c r="F17" s="15">
        <v>0.75</v>
      </c>
      <c r="G17" s="15" t="s">
        <v>13</v>
      </c>
    </row>
    <row r="18" spans="1:7" ht="15" customHeight="1">
      <c r="A18" s="15"/>
      <c r="B18" s="15" t="s">
        <v>42</v>
      </c>
      <c r="C18" s="16" t="s">
        <v>43</v>
      </c>
      <c r="D18" s="21" t="s">
        <v>30</v>
      </c>
      <c r="E18" s="18" t="s">
        <v>12</v>
      </c>
      <c r="F18" s="15">
        <v>0.75</v>
      </c>
      <c r="G18" s="15" t="s">
        <v>13</v>
      </c>
    </row>
    <row r="19" spans="1:7" ht="15" customHeight="1">
      <c r="A19" s="15"/>
      <c r="B19" s="15" t="s">
        <v>44</v>
      </c>
      <c r="C19" s="16" t="s">
        <v>45</v>
      </c>
      <c r="D19" s="21" t="s">
        <v>30</v>
      </c>
      <c r="E19" s="22" t="s">
        <v>46</v>
      </c>
      <c r="F19" s="15">
        <v>0.5</v>
      </c>
      <c r="G19" s="15" t="s">
        <v>13</v>
      </c>
    </row>
    <row r="20" spans="1:7" ht="15" customHeight="1">
      <c r="A20" s="12" t="s">
        <v>47</v>
      </c>
      <c r="B20" s="12"/>
      <c r="C20" s="12"/>
      <c r="D20" s="12"/>
      <c r="E20" s="12"/>
      <c r="F20" s="12"/>
      <c r="G20" s="12"/>
    </row>
    <row r="21" spans="1:7" ht="23.25" customHeight="1">
      <c r="A21" s="15"/>
      <c r="B21" s="15" t="s">
        <v>48</v>
      </c>
      <c r="C21" s="16" t="s">
        <v>49</v>
      </c>
      <c r="D21" s="17" t="s">
        <v>11</v>
      </c>
      <c r="E21" s="19" t="s">
        <v>16</v>
      </c>
      <c r="F21" s="15">
        <v>1</v>
      </c>
      <c r="G21" s="15" t="s">
        <v>50</v>
      </c>
    </row>
    <row r="22" spans="1:7" ht="23.25" customHeight="1">
      <c r="A22" s="15"/>
      <c r="B22" s="15" t="s">
        <v>51</v>
      </c>
      <c r="C22" s="16" t="s">
        <v>52</v>
      </c>
      <c r="D22" s="17" t="s">
        <v>11</v>
      </c>
      <c r="E22" s="18" t="s">
        <v>12</v>
      </c>
      <c r="F22" s="15">
        <v>1</v>
      </c>
      <c r="G22" s="15" t="s">
        <v>50</v>
      </c>
    </row>
    <row r="23" spans="1:7" ht="15" customHeight="1">
      <c r="A23" s="15"/>
      <c r="B23" s="15" t="s">
        <v>53</v>
      </c>
      <c r="C23" s="16" t="s">
        <v>54</v>
      </c>
      <c r="D23" s="17" t="s">
        <v>11</v>
      </c>
      <c r="E23" s="19" t="s">
        <v>16</v>
      </c>
      <c r="F23" s="15">
        <v>1</v>
      </c>
      <c r="G23" s="15" t="s">
        <v>50</v>
      </c>
    </row>
    <row r="24" spans="1:7" ht="23.25" customHeight="1">
      <c r="A24" s="15"/>
      <c r="B24" s="15" t="s">
        <v>55</v>
      </c>
      <c r="C24" s="16" t="s">
        <v>56</v>
      </c>
      <c r="D24" s="17" t="s">
        <v>11</v>
      </c>
      <c r="E24" s="23" t="s">
        <v>57</v>
      </c>
      <c r="F24" s="15">
        <v>3</v>
      </c>
      <c r="G24" s="15" t="s">
        <v>50</v>
      </c>
    </row>
    <row r="25" spans="1:7" ht="23.25" customHeight="1">
      <c r="A25" s="15"/>
      <c r="B25" s="15" t="s">
        <v>58</v>
      </c>
      <c r="C25" s="16" t="s">
        <v>59</v>
      </c>
      <c r="D25" s="17" t="s">
        <v>11</v>
      </c>
      <c r="E25" s="19" t="s">
        <v>16</v>
      </c>
      <c r="F25" s="15">
        <v>1</v>
      </c>
      <c r="G25" s="15" t="s">
        <v>50</v>
      </c>
    </row>
    <row r="26" spans="1:7" ht="15" customHeight="1">
      <c r="A26" s="15"/>
      <c r="B26" s="15" t="s">
        <v>60</v>
      </c>
      <c r="C26" s="16" t="s">
        <v>61</v>
      </c>
      <c r="D26" s="21" t="s">
        <v>30</v>
      </c>
      <c r="E26" s="18" t="s">
        <v>12</v>
      </c>
      <c r="F26" s="15">
        <v>0.75</v>
      </c>
      <c r="G26" s="15" t="s">
        <v>50</v>
      </c>
    </row>
    <row r="27" spans="1:7" ht="15" customHeight="1">
      <c r="A27" s="15"/>
      <c r="B27" s="15" t="s">
        <v>62</v>
      </c>
      <c r="C27" s="16" t="s">
        <v>63</v>
      </c>
      <c r="D27" s="21" t="s">
        <v>30</v>
      </c>
      <c r="E27" s="19" t="s">
        <v>16</v>
      </c>
      <c r="F27" s="15">
        <v>1</v>
      </c>
      <c r="G27" s="15" t="s">
        <v>50</v>
      </c>
    </row>
    <row r="28" spans="1:7" ht="15" customHeight="1">
      <c r="A28" s="12" t="s">
        <v>64</v>
      </c>
      <c r="B28" s="12"/>
      <c r="C28" s="12"/>
      <c r="D28" s="12"/>
      <c r="E28" s="12"/>
      <c r="F28" s="12"/>
      <c r="G28" s="12"/>
    </row>
    <row r="29" spans="1:7" ht="15" customHeight="1">
      <c r="A29" s="15"/>
      <c r="B29" s="15" t="s">
        <v>65</v>
      </c>
      <c r="C29" s="16" t="s">
        <v>66</v>
      </c>
      <c r="D29" s="17" t="s">
        <v>11</v>
      </c>
      <c r="E29" s="22" t="s">
        <v>46</v>
      </c>
      <c r="F29" s="15">
        <v>1</v>
      </c>
      <c r="G29" s="15" t="s">
        <v>67</v>
      </c>
    </row>
    <row r="30" spans="1:7" ht="23.25" customHeight="1">
      <c r="A30" s="15"/>
      <c r="B30" s="15" t="s">
        <v>68</v>
      </c>
      <c r="C30" s="16" t="s">
        <v>69</v>
      </c>
      <c r="D30" s="17" t="s">
        <v>11</v>
      </c>
      <c r="E30" s="22" t="s">
        <v>46</v>
      </c>
      <c r="F30" s="15">
        <v>0.5</v>
      </c>
      <c r="G30" s="15" t="s">
        <v>67</v>
      </c>
    </row>
    <row r="31" spans="1:7" ht="15" customHeight="1">
      <c r="A31" s="15"/>
      <c r="B31" s="15" t="s">
        <v>70</v>
      </c>
      <c r="C31" s="16" t="s">
        <v>71</v>
      </c>
      <c r="D31" s="21" t="s">
        <v>30</v>
      </c>
      <c r="E31" s="22" t="s">
        <v>46</v>
      </c>
      <c r="F31" s="15">
        <v>0.75</v>
      </c>
      <c r="G31" s="15" t="s">
        <v>67</v>
      </c>
    </row>
    <row r="32" spans="1:7" ht="15" customHeight="1">
      <c r="A32" s="15"/>
      <c r="B32" s="15" t="s">
        <v>72</v>
      </c>
      <c r="C32" s="16" t="s">
        <v>73</v>
      </c>
      <c r="D32" s="21" t="s">
        <v>30</v>
      </c>
      <c r="E32" s="22" t="s">
        <v>46</v>
      </c>
      <c r="F32" s="15">
        <v>0.75</v>
      </c>
      <c r="G32" s="15" t="s">
        <v>67</v>
      </c>
    </row>
    <row r="33" spans="1:7" ht="15" customHeight="1">
      <c r="A33" s="12" t="s">
        <v>74</v>
      </c>
      <c r="B33" s="12"/>
      <c r="C33" s="12"/>
      <c r="D33" s="12"/>
      <c r="E33" s="12"/>
      <c r="F33" s="12"/>
      <c r="G33" s="12"/>
    </row>
    <row r="34" spans="1:7" ht="15" customHeight="1">
      <c r="A34" s="15"/>
      <c r="B34" s="15" t="s">
        <v>75</v>
      </c>
      <c r="C34" s="16" t="s">
        <v>76</v>
      </c>
      <c r="D34" s="17" t="s">
        <v>11</v>
      </c>
      <c r="E34" s="18" t="s">
        <v>12</v>
      </c>
      <c r="F34" s="15">
        <v>1</v>
      </c>
      <c r="G34" s="15" t="s">
        <v>77</v>
      </c>
    </row>
    <row r="35" spans="1:7" ht="15" customHeight="1">
      <c r="A35" s="15"/>
      <c r="B35" s="15" t="s">
        <v>78</v>
      </c>
      <c r="C35" s="16" t="s">
        <v>79</v>
      </c>
      <c r="D35" s="17" t="s">
        <v>11</v>
      </c>
      <c r="E35" s="18" t="s">
        <v>12</v>
      </c>
      <c r="F35" s="15">
        <v>1</v>
      </c>
      <c r="G35" s="15" t="s">
        <v>77</v>
      </c>
    </row>
    <row r="36" spans="1:7" ht="15" customHeight="1">
      <c r="A36" s="15"/>
      <c r="B36" s="15" t="s">
        <v>80</v>
      </c>
      <c r="C36" s="16" t="s">
        <v>81</v>
      </c>
      <c r="D36" s="21" t="s">
        <v>30</v>
      </c>
      <c r="E36" s="18" t="s">
        <v>12</v>
      </c>
      <c r="F36" s="15">
        <v>1</v>
      </c>
      <c r="G36" s="15" t="s">
        <v>77</v>
      </c>
    </row>
    <row r="37" spans="1:7" ht="15" customHeight="1">
      <c r="A37" s="12" t="s">
        <v>82</v>
      </c>
      <c r="B37" s="12"/>
      <c r="C37" s="12"/>
      <c r="D37" s="12"/>
      <c r="E37" s="12"/>
      <c r="F37" s="12"/>
      <c r="G37" s="12"/>
    </row>
    <row r="38" spans="1:7" ht="15" customHeight="1">
      <c r="A38" s="15"/>
      <c r="B38" s="15" t="s">
        <v>83</v>
      </c>
      <c r="C38" s="16" t="s">
        <v>84</v>
      </c>
      <c r="D38" s="17" t="s">
        <v>11</v>
      </c>
      <c r="E38" s="18" t="s">
        <v>12</v>
      </c>
      <c r="F38" s="15">
        <v>1.5</v>
      </c>
      <c r="G38" s="15" t="s">
        <v>77</v>
      </c>
    </row>
    <row r="39" spans="1:7" ht="15" customHeight="1">
      <c r="A39" s="15"/>
      <c r="B39" s="15" t="s">
        <v>85</v>
      </c>
      <c r="C39" s="16" t="s">
        <v>86</v>
      </c>
      <c r="D39" s="17" t="s">
        <v>11</v>
      </c>
      <c r="E39" s="18" t="s">
        <v>12</v>
      </c>
      <c r="F39" s="15">
        <v>1</v>
      </c>
      <c r="G39" s="15" t="s">
        <v>77</v>
      </c>
    </row>
    <row r="40" spans="1:7" ht="15" customHeight="1">
      <c r="A40" s="15"/>
      <c r="B40" s="15" t="s">
        <v>87</v>
      </c>
      <c r="C40" s="16" t="s">
        <v>88</v>
      </c>
      <c r="D40" s="17" t="s">
        <v>11</v>
      </c>
      <c r="E40" s="18" t="s">
        <v>12</v>
      </c>
      <c r="F40" s="15">
        <v>0.5</v>
      </c>
      <c r="G40" s="15" t="s">
        <v>77</v>
      </c>
    </row>
    <row r="41" spans="1:7" ht="15" customHeight="1">
      <c r="A41" s="15"/>
      <c r="B41" s="15" t="s">
        <v>89</v>
      </c>
      <c r="C41" s="16" t="s">
        <v>90</v>
      </c>
      <c r="D41" s="21" t="s">
        <v>30</v>
      </c>
      <c r="E41" s="18" t="s">
        <v>12</v>
      </c>
      <c r="F41" s="15">
        <v>1</v>
      </c>
      <c r="G41" s="15" t="s">
        <v>77</v>
      </c>
    </row>
    <row r="42" spans="1:7" ht="15" customHeight="1">
      <c r="A42" s="12" t="s">
        <v>91</v>
      </c>
      <c r="B42" s="12"/>
      <c r="C42" s="12"/>
      <c r="D42" s="12"/>
      <c r="E42" s="12"/>
      <c r="F42" s="12"/>
      <c r="G42" s="12"/>
    </row>
    <row r="43" spans="1:7" ht="23.25" customHeight="1">
      <c r="A43" s="15"/>
      <c r="B43" s="15" t="s">
        <v>92</v>
      </c>
      <c r="C43" s="16" t="s">
        <v>93</v>
      </c>
      <c r="D43" s="17" t="s">
        <v>11</v>
      </c>
      <c r="E43" s="18" t="s">
        <v>12</v>
      </c>
      <c r="F43" s="15">
        <v>1</v>
      </c>
      <c r="G43" s="15" t="s">
        <v>13</v>
      </c>
    </row>
    <row r="44" spans="1:7" ht="23.25" customHeight="1">
      <c r="A44" s="15"/>
      <c r="B44" s="15" t="s">
        <v>94</v>
      </c>
      <c r="C44" s="16" t="s">
        <v>95</v>
      </c>
      <c r="D44" s="17" t="s">
        <v>11</v>
      </c>
      <c r="E44" s="18" t="s">
        <v>12</v>
      </c>
      <c r="F44" s="15">
        <v>1</v>
      </c>
      <c r="G44" s="15" t="s">
        <v>13</v>
      </c>
    </row>
    <row r="45" spans="1:7" ht="15" customHeight="1">
      <c r="A45" s="15"/>
      <c r="B45" s="15" t="s">
        <v>96</v>
      </c>
      <c r="C45" s="16" t="s">
        <v>97</v>
      </c>
      <c r="D45" s="17" t="s">
        <v>11</v>
      </c>
      <c r="E45" s="22" t="s">
        <v>46</v>
      </c>
      <c r="F45" s="15">
        <v>0.5</v>
      </c>
      <c r="G45" s="15" t="s">
        <v>13</v>
      </c>
    </row>
    <row r="46" spans="1:7" ht="15" customHeight="1">
      <c r="A46" s="15"/>
      <c r="B46" s="15" t="s">
        <v>98</v>
      </c>
      <c r="C46" s="16" t="s">
        <v>99</v>
      </c>
      <c r="D46" s="21" t="s">
        <v>30</v>
      </c>
      <c r="E46" s="18" t="s">
        <v>12</v>
      </c>
      <c r="F46" s="15">
        <v>1</v>
      </c>
      <c r="G46" s="15" t="s">
        <v>13</v>
      </c>
    </row>
    <row r="47" spans="1:7" ht="15" customHeight="1">
      <c r="A47" s="15"/>
      <c r="B47" s="15" t="s">
        <v>100</v>
      </c>
      <c r="C47" s="16" t="s">
        <v>101</v>
      </c>
      <c r="D47" s="21" t="s">
        <v>30</v>
      </c>
      <c r="E47" s="18" t="s">
        <v>12</v>
      </c>
      <c r="F47" s="15">
        <v>0.5</v>
      </c>
      <c r="G47" s="15" t="s">
        <v>13</v>
      </c>
    </row>
    <row r="48" spans="1:7" ht="15" customHeight="1">
      <c r="A48" s="12" t="s">
        <v>102</v>
      </c>
      <c r="B48" s="12"/>
      <c r="C48" s="12"/>
      <c r="D48" s="12"/>
      <c r="E48" s="12"/>
      <c r="F48" s="12"/>
      <c r="G48" s="12"/>
    </row>
    <row r="49" spans="1:7" ht="23.25" customHeight="1">
      <c r="A49" s="15"/>
      <c r="B49" s="15" t="s">
        <v>103</v>
      </c>
      <c r="C49" s="16" t="s">
        <v>104</v>
      </c>
      <c r="D49" s="17" t="s">
        <v>11</v>
      </c>
      <c r="E49" s="19" t="s">
        <v>16</v>
      </c>
      <c r="F49" s="15">
        <v>1</v>
      </c>
      <c r="G49" s="15" t="s">
        <v>13</v>
      </c>
    </row>
    <row r="50" spans="1:7" ht="23.25" customHeight="1">
      <c r="A50" s="15"/>
      <c r="B50" s="15" t="s">
        <v>105</v>
      </c>
      <c r="C50" s="16" t="s">
        <v>106</v>
      </c>
      <c r="D50" s="17" t="s">
        <v>11</v>
      </c>
      <c r="E50" s="19" t="s">
        <v>16</v>
      </c>
      <c r="F50" s="15">
        <v>1.5</v>
      </c>
      <c r="G50" s="15" t="s">
        <v>13</v>
      </c>
    </row>
    <row r="51" spans="1:7" ht="23.25" customHeight="1">
      <c r="A51" s="15"/>
      <c r="B51" s="15" t="s">
        <v>107</v>
      </c>
      <c r="C51" s="16" t="s">
        <v>108</v>
      </c>
      <c r="D51" s="17" t="s">
        <v>11</v>
      </c>
      <c r="E51" s="18" t="s">
        <v>12</v>
      </c>
      <c r="F51" s="15">
        <v>0.5</v>
      </c>
      <c r="G51" s="15" t="s">
        <v>13</v>
      </c>
    </row>
    <row r="52" spans="1:7" ht="15" customHeight="1">
      <c r="A52" s="15"/>
      <c r="B52" s="15" t="s">
        <v>109</v>
      </c>
      <c r="C52" s="16" t="s">
        <v>110</v>
      </c>
      <c r="D52" s="17" t="s">
        <v>11</v>
      </c>
      <c r="E52" s="18" t="s">
        <v>12</v>
      </c>
      <c r="F52" s="15">
        <v>0.5</v>
      </c>
      <c r="G52" s="15" t="s">
        <v>13</v>
      </c>
    </row>
    <row r="53" spans="1:7" ht="15" customHeight="1">
      <c r="A53" s="12" t="s">
        <v>111</v>
      </c>
      <c r="B53" s="12"/>
      <c r="C53" s="12"/>
      <c r="D53" s="12"/>
      <c r="E53" s="12"/>
      <c r="F53" s="12"/>
      <c r="G53" s="12"/>
    </row>
    <row r="54" spans="1:7" ht="15" customHeight="1">
      <c r="A54" s="15"/>
      <c r="B54" s="15" t="s">
        <v>112</v>
      </c>
      <c r="C54" s="16" t="s">
        <v>113</v>
      </c>
      <c r="D54" s="20" t="s">
        <v>27</v>
      </c>
      <c r="E54" s="19" t="s">
        <v>16</v>
      </c>
      <c r="F54" s="15">
        <v>1</v>
      </c>
      <c r="G54" s="15" t="s">
        <v>13</v>
      </c>
    </row>
    <row r="55" spans="1:7" ht="23.25" customHeight="1">
      <c r="A55" s="15"/>
      <c r="B55" s="15" t="s">
        <v>114</v>
      </c>
      <c r="C55" s="16" t="s">
        <v>115</v>
      </c>
      <c r="D55" s="21" t="s">
        <v>30</v>
      </c>
      <c r="E55" s="18" t="s">
        <v>12</v>
      </c>
      <c r="F55" s="15">
        <v>0.75</v>
      </c>
      <c r="G55" s="15" t="s">
        <v>13</v>
      </c>
    </row>
    <row r="56" spans="1:7" ht="23.25" customHeight="1">
      <c r="A56" s="15"/>
      <c r="B56" s="15" t="s">
        <v>116</v>
      </c>
      <c r="C56" s="16" t="s">
        <v>117</v>
      </c>
      <c r="D56" s="21" t="s">
        <v>30</v>
      </c>
      <c r="E56" s="19" t="s">
        <v>16</v>
      </c>
      <c r="F56" s="15">
        <v>1.5</v>
      </c>
      <c r="G56" s="15" t="s">
        <v>13</v>
      </c>
    </row>
    <row r="57" spans="1:7" ht="15" customHeight="1">
      <c r="A57" s="15"/>
      <c r="B57" s="15" t="s">
        <v>118</v>
      </c>
      <c r="C57" s="16" t="s">
        <v>119</v>
      </c>
      <c r="D57" s="21" t="s">
        <v>30</v>
      </c>
      <c r="E57" s="19" t="s">
        <v>16</v>
      </c>
      <c r="F57" s="15">
        <v>1</v>
      </c>
      <c r="G57" s="15" t="s">
        <v>13</v>
      </c>
    </row>
    <row r="58" spans="1:7" ht="15" customHeight="1">
      <c r="A58" s="15"/>
      <c r="B58" s="15" t="s">
        <v>120</v>
      </c>
      <c r="C58" s="16" t="s">
        <v>121</v>
      </c>
      <c r="D58" s="21" t="s">
        <v>30</v>
      </c>
      <c r="E58" s="18" t="s">
        <v>12</v>
      </c>
      <c r="F58" s="15">
        <v>0.75</v>
      </c>
      <c r="G58" s="15" t="s">
        <v>13</v>
      </c>
    </row>
    <row r="59" spans="1:7" ht="15" customHeight="1">
      <c r="A59" s="12" t="s">
        <v>122</v>
      </c>
      <c r="B59" s="12"/>
      <c r="C59" s="12"/>
      <c r="D59" s="12"/>
      <c r="E59" s="12"/>
      <c r="F59" s="12"/>
      <c r="G59" s="12"/>
    </row>
    <row r="60" spans="1:7" ht="15" customHeight="1">
      <c r="A60" s="15"/>
      <c r="B60" s="15" t="s">
        <v>123</v>
      </c>
      <c r="C60" s="16" t="s">
        <v>124</v>
      </c>
      <c r="D60" s="17" t="s">
        <v>11</v>
      </c>
      <c r="E60" s="18" t="s">
        <v>12</v>
      </c>
      <c r="F60" s="15">
        <v>1</v>
      </c>
      <c r="G60" s="15" t="s">
        <v>13</v>
      </c>
    </row>
    <row r="61" spans="1:7" ht="15" customHeight="1">
      <c r="A61" s="15"/>
      <c r="B61" s="15" t="s">
        <v>125</v>
      </c>
      <c r="C61" s="16" t="s">
        <v>126</v>
      </c>
      <c r="D61" s="17" t="s">
        <v>11</v>
      </c>
      <c r="E61" s="19" t="s">
        <v>16</v>
      </c>
      <c r="F61" s="15">
        <v>1</v>
      </c>
      <c r="G61" s="15" t="s">
        <v>13</v>
      </c>
    </row>
    <row r="62" spans="1:7" ht="23.25" customHeight="1">
      <c r="A62" s="15"/>
      <c r="B62" s="15" t="s">
        <v>127</v>
      </c>
      <c r="C62" s="16" t="s">
        <v>128</v>
      </c>
      <c r="D62" s="17" t="s">
        <v>11</v>
      </c>
      <c r="E62" s="19" t="s">
        <v>16</v>
      </c>
      <c r="F62" s="15">
        <v>1</v>
      </c>
      <c r="G62" s="15" t="s">
        <v>13</v>
      </c>
    </row>
    <row r="63" spans="1:7" ht="15" customHeight="1">
      <c r="A63" s="15"/>
      <c r="B63" s="15" t="s">
        <v>129</v>
      </c>
      <c r="C63" s="16" t="s">
        <v>130</v>
      </c>
      <c r="D63" s="21" t="s">
        <v>30</v>
      </c>
      <c r="E63" s="22" t="s">
        <v>46</v>
      </c>
      <c r="F63" s="15">
        <v>0.5</v>
      </c>
      <c r="G63" s="15" t="s">
        <v>13</v>
      </c>
    </row>
    <row r="64" spans="1:7" ht="15" customHeight="1">
      <c r="A64" s="12" t="s">
        <v>131</v>
      </c>
      <c r="B64" s="12"/>
      <c r="C64" s="12"/>
      <c r="D64" s="12"/>
      <c r="E64" s="12"/>
      <c r="F64" s="12"/>
      <c r="G64" s="12"/>
    </row>
    <row r="65" spans="1:7" ht="23.25" customHeight="1">
      <c r="A65" s="15"/>
      <c r="B65" s="15" t="s">
        <v>132</v>
      </c>
      <c r="C65" s="16" t="s">
        <v>133</v>
      </c>
      <c r="D65" s="17" t="s">
        <v>11</v>
      </c>
      <c r="E65" s="22" t="s">
        <v>46</v>
      </c>
      <c r="F65" s="15">
        <v>1</v>
      </c>
      <c r="G65" s="15" t="s">
        <v>13</v>
      </c>
    </row>
    <row r="66" spans="1:7" ht="15" customHeight="1">
      <c r="A66" s="15"/>
      <c r="B66" s="15" t="s">
        <v>134</v>
      </c>
      <c r="C66" s="16" t="s">
        <v>135</v>
      </c>
      <c r="D66" s="21" t="s">
        <v>30</v>
      </c>
      <c r="E66" s="22" t="s">
        <v>46</v>
      </c>
      <c r="F66" s="15">
        <v>0.75</v>
      </c>
      <c r="G66" s="15" t="s">
        <v>13</v>
      </c>
    </row>
    <row r="67" spans="1:7" ht="15" customHeight="1">
      <c r="A67" s="12" t="s">
        <v>136</v>
      </c>
      <c r="B67" s="12"/>
      <c r="C67" s="12"/>
      <c r="D67" s="12"/>
      <c r="E67" s="12"/>
      <c r="F67" s="12"/>
      <c r="G67" s="12"/>
    </row>
    <row r="68" spans="1:7" ht="23.25" customHeight="1">
      <c r="A68" s="15"/>
      <c r="B68" s="15" t="s">
        <v>137</v>
      </c>
      <c r="C68" s="16" t="s">
        <v>138</v>
      </c>
      <c r="D68" s="17" t="s">
        <v>11</v>
      </c>
      <c r="E68" s="18" t="s">
        <v>12</v>
      </c>
      <c r="F68" s="15">
        <v>1.5</v>
      </c>
      <c r="G68" s="15" t="s">
        <v>13</v>
      </c>
    </row>
    <row r="69" spans="1:7" ht="15" customHeight="1">
      <c r="A69" s="15"/>
      <c r="B69" s="15" t="s">
        <v>139</v>
      </c>
      <c r="C69" s="16" t="s">
        <v>140</v>
      </c>
      <c r="D69" s="17" t="s">
        <v>11</v>
      </c>
      <c r="E69" s="18" t="s">
        <v>12</v>
      </c>
      <c r="F69" s="15">
        <v>0.5</v>
      </c>
      <c r="G69" s="15" t="s">
        <v>13</v>
      </c>
    </row>
    <row r="70" spans="1:7" ht="15" customHeight="1">
      <c r="A70" s="15"/>
      <c r="B70" s="15" t="s">
        <v>141</v>
      </c>
      <c r="C70" s="16" t="s">
        <v>142</v>
      </c>
      <c r="D70" s="21" t="s">
        <v>30</v>
      </c>
      <c r="E70" s="18" t="s">
        <v>12</v>
      </c>
      <c r="F70" s="15">
        <v>1.5</v>
      </c>
      <c r="G70" s="15" t="s">
        <v>13</v>
      </c>
    </row>
    <row r="71" spans="1:7" ht="15" customHeight="1">
      <c r="A71" s="15"/>
      <c r="B71" s="15" t="s">
        <v>143</v>
      </c>
      <c r="C71" s="16" t="s">
        <v>144</v>
      </c>
      <c r="D71" s="21" t="s">
        <v>30</v>
      </c>
      <c r="E71" s="18" t="s">
        <v>12</v>
      </c>
      <c r="F71" s="15">
        <v>0.5</v>
      </c>
      <c r="G71" s="15" t="s">
        <v>13</v>
      </c>
    </row>
    <row r="72" spans="1:7" ht="15" customHeight="1">
      <c r="A72" s="12" t="s">
        <v>145</v>
      </c>
      <c r="B72" s="12"/>
      <c r="C72" s="12"/>
      <c r="D72" s="12"/>
      <c r="E72" s="12"/>
      <c r="F72" s="12"/>
      <c r="G72" s="12"/>
    </row>
    <row r="73" spans="1:7" ht="15" customHeight="1">
      <c r="A73" s="15"/>
      <c r="B73" s="15" t="s">
        <v>146</v>
      </c>
      <c r="C73" s="16" t="s">
        <v>147</v>
      </c>
      <c r="D73" s="17" t="s">
        <v>11</v>
      </c>
      <c r="E73" s="18" t="s">
        <v>12</v>
      </c>
      <c r="F73" s="15">
        <v>1</v>
      </c>
      <c r="G73" s="15" t="s">
        <v>148</v>
      </c>
    </row>
    <row r="74" spans="1:7" ht="15" customHeight="1">
      <c r="A74" s="15"/>
      <c r="B74" s="15" t="s">
        <v>149</v>
      </c>
      <c r="C74" s="16" t="s">
        <v>150</v>
      </c>
      <c r="D74" s="21" t="s">
        <v>30</v>
      </c>
      <c r="E74" s="18" t="s">
        <v>12</v>
      </c>
      <c r="F74" s="15">
        <v>1.5</v>
      </c>
      <c r="G74" s="15" t="s">
        <v>148</v>
      </c>
    </row>
    <row r="75" spans="1:7" ht="15" customHeight="1">
      <c r="A75" s="15"/>
      <c r="B75" s="15" t="s">
        <v>151</v>
      </c>
      <c r="C75" s="16" t="s">
        <v>152</v>
      </c>
      <c r="D75" s="21" t="s">
        <v>30</v>
      </c>
      <c r="E75" s="22" t="s">
        <v>46</v>
      </c>
      <c r="F75" s="15">
        <v>0.5</v>
      </c>
      <c r="G75" s="15" t="s">
        <v>148</v>
      </c>
    </row>
    <row r="76" spans="1:7" ht="15" customHeight="1">
      <c r="A76" s="12" t="s">
        <v>153</v>
      </c>
      <c r="B76" s="12"/>
      <c r="C76" s="12"/>
      <c r="D76" s="12"/>
      <c r="E76" s="12"/>
      <c r="F76" s="12"/>
      <c r="G76" s="12"/>
    </row>
    <row r="77" spans="1:7" ht="15" customHeight="1">
      <c r="A77" s="15"/>
      <c r="B77" s="15" t="s">
        <v>154</v>
      </c>
      <c r="C77" s="16" t="s">
        <v>155</v>
      </c>
      <c r="D77" s="17" t="s">
        <v>11</v>
      </c>
      <c r="E77" s="19" t="s">
        <v>16</v>
      </c>
      <c r="F77" s="15">
        <v>1.5</v>
      </c>
      <c r="G77" s="15" t="s">
        <v>77</v>
      </c>
    </row>
    <row r="78" spans="1:7" ht="15" customHeight="1">
      <c r="A78" s="15"/>
      <c r="B78" s="15" t="s">
        <v>156</v>
      </c>
      <c r="C78" s="16" t="s">
        <v>157</v>
      </c>
      <c r="D78" s="17" t="s">
        <v>11</v>
      </c>
      <c r="E78" s="23" t="s">
        <v>57</v>
      </c>
      <c r="F78" s="15">
        <v>2.5</v>
      </c>
      <c r="G78" s="15" t="s">
        <v>77</v>
      </c>
    </row>
    <row r="79" spans="1:7" ht="15" customHeight="1">
      <c r="A79" s="15"/>
      <c r="B79" s="15" t="s">
        <v>158</v>
      </c>
      <c r="C79" s="16" t="s">
        <v>159</v>
      </c>
      <c r="D79" s="17" t="s">
        <v>11</v>
      </c>
      <c r="E79" s="19" t="s">
        <v>16</v>
      </c>
      <c r="F79" s="15">
        <v>1.5</v>
      </c>
      <c r="G79" s="15" t="s">
        <v>77</v>
      </c>
    </row>
    <row r="80" spans="1:7" ht="15" customHeight="1">
      <c r="A80" s="15"/>
      <c r="B80" s="15" t="s">
        <v>160</v>
      </c>
      <c r="C80" s="16" t="s">
        <v>161</v>
      </c>
      <c r="D80" s="17" t="s">
        <v>11</v>
      </c>
      <c r="E80" s="23" t="s">
        <v>57</v>
      </c>
      <c r="F80" s="15">
        <v>2</v>
      </c>
      <c r="G80" s="15" t="s">
        <v>77</v>
      </c>
    </row>
    <row r="81" spans="1:7" ht="15" customHeight="1">
      <c r="A81" s="15"/>
      <c r="B81" s="15" t="s">
        <v>162</v>
      </c>
      <c r="C81" s="16" t="s">
        <v>163</v>
      </c>
      <c r="D81" s="17" t="s">
        <v>11</v>
      </c>
      <c r="E81" s="19" t="s">
        <v>16</v>
      </c>
      <c r="F81" s="15">
        <v>0.5</v>
      </c>
      <c r="G81" s="15" t="s">
        <v>77</v>
      </c>
    </row>
    <row r="82" spans="1:7" ht="15" customHeight="1">
      <c r="A82" s="12" t="s">
        <v>164</v>
      </c>
      <c r="B82" s="12"/>
      <c r="C82" s="12"/>
      <c r="D82" s="12"/>
      <c r="E82" s="12"/>
      <c r="F82" s="12"/>
      <c r="G82" s="12"/>
    </row>
    <row r="83" spans="1:7" ht="15" customHeight="1">
      <c r="A83" s="15"/>
      <c r="B83" s="15" t="s">
        <v>165</v>
      </c>
      <c r="C83" s="16" t="s">
        <v>166</v>
      </c>
      <c r="D83" s="17" t="s">
        <v>11</v>
      </c>
      <c r="E83" s="18" t="s">
        <v>12</v>
      </c>
      <c r="F83" s="15">
        <v>1</v>
      </c>
      <c r="G83" s="15" t="s">
        <v>77</v>
      </c>
    </row>
    <row r="84" spans="1:7" ht="15" customHeight="1">
      <c r="A84" s="15"/>
      <c r="B84" s="15" t="s">
        <v>167</v>
      </c>
      <c r="C84" s="16" t="s">
        <v>168</v>
      </c>
      <c r="D84" s="21" t="s">
        <v>30</v>
      </c>
      <c r="E84" s="18" t="s">
        <v>12</v>
      </c>
      <c r="F84" s="15">
        <v>1.5</v>
      </c>
      <c r="G84" s="15" t="s">
        <v>77</v>
      </c>
    </row>
    <row r="85" spans="1:7" ht="15" customHeight="1">
      <c r="A85" s="12" t="s">
        <v>169</v>
      </c>
      <c r="B85" s="12"/>
      <c r="C85" s="12"/>
      <c r="D85" s="12"/>
      <c r="E85" s="12"/>
      <c r="F85" s="12"/>
      <c r="G85" s="12"/>
    </row>
    <row r="86" spans="1:7" ht="23.25" customHeight="1">
      <c r="A86" s="15"/>
      <c r="B86" s="15" t="s">
        <v>170</v>
      </c>
      <c r="C86" s="16" t="s">
        <v>171</v>
      </c>
      <c r="D86" s="17" t="s">
        <v>11</v>
      </c>
      <c r="E86" s="18" t="s">
        <v>12</v>
      </c>
      <c r="F86" s="15">
        <v>1.5</v>
      </c>
      <c r="G86" s="15" t="s">
        <v>77</v>
      </c>
    </row>
    <row r="87" spans="1:7" ht="15" customHeight="1">
      <c r="A87" s="15"/>
      <c r="B87" s="15" t="s">
        <v>172</v>
      </c>
      <c r="C87" s="16" t="s">
        <v>173</v>
      </c>
      <c r="D87" s="21" t="s">
        <v>30</v>
      </c>
      <c r="E87" s="18" t="s">
        <v>12</v>
      </c>
      <c r="F87" s="15">
        <v>2</v>
      </c>
      <c r="G87" s="15" t="s">
        <v>77</v>
      </c>
    </row>
    <row r="88" spans="1:7" ht="15" customHeight="1">
      <c r="A88" s="12" t="s">
        <v>174</v>
      </c>
      <c r="B88" s="12"/>
      <c r="C88" s="12"/>
      <c r="D88" s="12"/>
      <c r="E88" s="12"/>
      <c r="F88" s="12"/>
      <c r="G88" s="12"/>
    </row>
    <row r="89" spans="1:7" ht="23.25" customHeight="1">
      <c r="A89" s="15"/>
      <c r="B89" s="15" t="s">
        <v>175</v>
      </c>
      <c r="C89" s="16" t="s">
        <v>176</v>
      </c>
      <c r="D89" s="17" t="s">
        <v>11</v>
      </c>
      <c r="E89" s="18" t="s">
        <v>12</v>
      </c>
      <c r="F89" s="15">
        <v>1.5</v>
      </c>
      <c r="G89" s="15" t="s">
        <v>77</v>
      </c>
    </row>
    <row r="90" spans="1:7" ht="15" customHeight="1">
      <c r="A90" s="15"/>
      <c r="B90" s="15" t="s">
        <v>177</v>
      </c>
      <c r="C90" s="16" t="s">
        <v>178</v>
      </c>
      <c r="D90" s="21" t="s">
        <v>30</v>
      </c>
      <c r="E90" s="22" t="s">
        <v>46</v>
      </c>
      <c r="F90" s="15">
        <v>0.5</v>
      </c>
      <c r="G90" s="15" t="s">
        <v>77</v>
      </c>
    </row>
    <row r="91" spans="1:7" ht="15" customHeight="1">
      <c r="A91" s="12" t="s">
        <v>179</v>
      </c>
      <c r="B91" s="12"/>
      <c r="C91" s="12"/>
      <c r="D91" s="12"/>
      <c r="E91" s="12"/>
      <c r="F91" s="12"/>
      <c r="G91" s="12"/>
    </row>
    <row r="92" spans="1:7" ht="15" customHeight="1">
      <c r="A92" s="15"/>
      <c r="B92" s="15" t="s">
        <v>180</v>
      </c>
      <c r="C92" s="16" t="s">
        <v>181</v>
      </c>
      <c r="D92" s="17" t="s">
        <v>11</v>
      </c>
      <c r="E92" s="19" t="s">
        <v>16</v>
      </c>
      <c r="F92" s="15">
        <v>1.5</v>
      </c>
      <c r="G92" s="15" t="s">
        <v>77</v>
      </c>
    </row>
    <row r="93" spans="1:7" ht="15" customHeight="1">
      <c r="A93" s="15"/>
      <c r="B93" s="15" t="s">
        <v>182</v>
      </c>
      <c r="C93" s="16" t="s">
        <v>183</v>
      </c>
      <c r="D93" s="17" t="s">
        <v>11</v>
      </c>
      <c r="E93" s="19" t="s">
        <v>16</v>
      </c>
      <c r="F93" s="15">
        <v>1.5</v>
      </c>
      <c r="G93" s="15" t="s">
        <v>77</v>
      </c>
    </row>
    <row r="94" spans="1:7" ht="15" customHeight="1">
      <c r="A94" s="15"/>
      <c r="B94" s="15" t="s">
        <v>184</v>
      </c>
      <c r="C94" s="16" t="s">
        <v>185</v>
      </c>
      <c r="D94" s="21" t="s">
        <v>30</v>
      </c>
      <c r="E94" s="19" t="s">
        <v>16</v>
      </c>
      <c r="F94" s="15">
        <v>2</v>
      </c>
      <c r="G94" s="15" t="s">
        <v>77</v>
      </c>
    </row>
    <row r="95" spans="1:7" ht="15" customHeight="1">
      <c r="A95" s="12" t="s">
        <v>186</v>
      </c>
      <c r="B95" s="12"/>
      <c r="C95" s="12"/>
      <c r="D95" s="12"/>
      <c r="E95" s="12"/>
      <c r="F95" s="12"/>
      <c r="G95" s="12"/>
    </row>
    <row r="96" spans="1:7" ht="15" customHeight="1">
      <c r="A96" s="15"/>
      <c r="B96" s="15" t="s">
        <v>187</v>
      </c>
      <c r="C96" s="16" t="s">
        <v>188</v>
      </c>
      <c r="D96" s="17" t="s">
        <v>11</v>
      </c>
      <c r="E96" s="18" t="s">
        <v>12</v>
      </c>
      <c r="F96" s="15">
        <v>1.5</v>
      </c>
      <c r="G96" s="15" t="s">
        <v>189</v>
      </c>
    </row>
    <row r="97" spans="1:7" ht="15" customHeight="1">
      <c r="A97" s="15"/>
      <c r="B97" s="15" t="s">
        <v>190</v>
      </c>
      <c r="C97" s="16" t="s">
        <v>191</v>
      </c>
      <c r="D97" s="17" t="s">
        <v>11</v>
      </c>
      <c r="E97" s="18" t="s">
        <v>12</v>
      </c>
      <c r="F97" s="15">
        <v>1</v>
      </c>
      <c r="G97" s="15" t="s">
        <v>189</v>
      </c>
    </row>
    <row r="98" spans="1:7" ht="15" customHeight="1">
      <c r="A98" s="15"/>
      <c r="B98" s="15" t="s">
        <v>192</v>
      </c>
      <c r="C98" s="16" t="s">
        <v>193</v>
      </c>
      <c r="D98" s="17" t="s">
        <v>11</v>
      </c>
      <c r="E98" s="18" t="s">
        <v>12</v>
      </c>
      <c r="F98" s="15">
        <v>1</v>
      </c>
      <c r="G98" s="15" t="s">
        <v>189</v>
      </c>
    </row>
    <row r="99" spans="1:7" ht="15" customHeight="1">
      <c r="A99" s="15"/>
      <c r="B99" s="15" t="s">
        <v>194</v>
      </c>
      <c r="C99" s="16" t="s">
        <v>195</v>
      </c>
      <c r="D99" s="21" t="s">
        <v>30</v>
      </c>
      <c r="E99" s="18" t="s">
        <v>12</v>
      </c>
      <c r="F99" s="15">
        <v>1</v>
      </c>
      <c r="G99" s="15" t="s">
        <v>189</v>
      </c>
    </row>
    <row r="100" spans="1:7" ht="15" customHeight="1">
      <c r="A100" s="12" t="s">
        <v>196</v>
      </c>
      <c r="B100" s="12"/>
      <c r="C100" s="12"/>
      <c r="D100" s="12"/>
      <c r="E100" s="12"/>
      <c r="F100" s="12"/>
      <c r="G100" s="12"/>
    </row>
    <row r="101" spans="1:7" ht="23.25" customHeight="1">
      <c r="A101" s="15"/>
      <c r="B101" s="15" t="s">
        <v>197</v>
      </c>
      <c r="C101" s="16" t="s">
        <v>198</v>
      </c>
      <c r="D101" s="17" t="s">
        <v>11</v>
      </c>
      <c r="E101" s="18" t="s">
        <v>12</v>
      </c>
      <c r="F101" s="15">
        <v>1.5</v>
      </c>
      <c r="G101" s="15" t="s">
        <v>67</v>
      </c>
    </row>
    <row r="102" spans="1:7" ht="15" customHeight="1">
      <c r="A102" s="15"/>
      <c r="B102" s="15" t="s">
        <v>199</v>
      </c>
      <c r="C102" s="16" t="s">
        <v>200</v>
      </c>
      <c r="D102" s="21" t="s">
        <v>30</v>
      </c>
      <c r="E102" s="18" t="s">
        <v>12</v>
      </c>
      <c r="F102" s="15">
        <v>1.5</v>
      </c>
      <c r="G102" s="15" t="s">
        <v>67</v>
      </c>
    </row>
    <row r="103" spans="1:7" ht="15" customHeight="1">
      <c r="A103" s="15"/>
      <c r="B103" s="15" t="s">
        <v>201</v>
      </c>
      <c r="C103" s="16" t="s">
        <v>202</v>
      </c>
      <c r="D103" s="21" t="s">
        <v>30</v>
      </c>
      <c r="E103" s="18" t="s">
        <v>12</v>
      </c>
      <c r="F103" s="15">
        <v>1</v>
      </c>
      <c r="G103" s="15" t="s">
        <v>67</v>
      </c>
    </row>
    <row r="104" spans="1:7" ht="15" customHeight="1">
      <c r="A104" s="12" t="s">
        <v>203</v>
      </c>
      <c r="B104" s="12"/>
      <c r="C104" s="12"/>
      <c r="D104" s="12"/>
      <c r="E104" s="12"/>
      <c r="F104" s="12"/>
      <c r="G104" s="12"/>
    </row>
    <row r="105" spans="1:7" ht="15" customHeight="1">
      <c r="A105" s="15"/>
      <c r="B105" s="15" t="s">
        <v>204</v>
      </c>
      <c r="C105" s="16" t="s">
        <v>205</v>
      </c>
      <c r="D105" s="17" t="s">
        <v>11</v>
      </c>
      <c r="E105" s="19" t="s">
        <v>16</v>
      </c>
      <c r="F105" s="15">
        <v>2</v>
      </c>
      <c r="G105" s="15" t="s">
        <v>77</v>
      </c>
    </row>
    <row r="106" spans="1:7" ht="15" customHeight="1">
      <c r="A106" s="15"/>
      <c r="B106" s="15" t="s">
        <v>206</v>
      </c>
      <c r="C106" s="16" t="s">
        <v>207</v>
      </c>
      <c r="D106" s="17" t="s">
        <v>11</v>
      </c>
      <c r="E106" s="18" t="s">
        <v>12</v>
      </c>
      <c r="F106" s="15">
        <v>1.5</v>
      </c>
      <c r="G106" s="15" t="s">
        <v>77</v>
      </c>
    </row>
    <row r="107" spans="1:7" ht="15" customHeight="1">
      <c r="A107" s="15"/>
      <c r="B107" s="15" t="s">
        <v>208</v>
      </c>
      <c r="C107" s="16" t="s">
        <v>209</v>
      </c>
      <c r="D107" s="21" t="s">
        <v>30</v>
      </c>
      <c r="E107" s="18" t="s">
        <v>12</v>
      </c>
      <c r="F107" s="15">
        <v>1.5</v>
      </c>
      <c r="G107" s="15" t="s">
        <v>77</v>
      </c>
    </row>
    <row r="108" spans="1:7" ht="15" customHeight="1">
      <c r="A108" s="12" t="s">
        <v>210</v>
      </c>
      <c r="B108" s="12"/>
      <c r="C108" s="12"/>
      <c r="D108" s="12"/>
      <c r="E108" s="12"/>
      <c r="F108" s="12"/>
      <c r="G108" s="12"/>
    </row>
    <row r="109" spans="1:7" ht="15" customHeight="1">
      <c r="A109" s="15"/>
      <c r="B109" s="15" t="s">
        <v>211</v>
      </c>
      <c r="C109" s="16" t="s">
        <v>212</v>
      </c>
      <c r="D109" s="17" t="s">
        <v>11</v>
      </c>
      <c r="E109" s="19" t="s">
        <v>16</v>
      </c>
      <c r="F109" s="15">
        <v>2</v>
      </c>
      <c r="G109" s="15" t="s">
        <v>77</v>
      </c>
    </row>
    <row r="110" spans="1:7" ht="15" customHeight="1">
      <c r="A110" s="15"/>
      <c r="B110" s="15" t="s">
        <v>213</v>
      </c>
      <c r="C110" s="16" t="s">
        <v>214</v>
      </c>
      <c r="D110" s="17" t="s">
        <v>11</v>
      </c>
      <c r="E110" s="18" t="s">
        <v>12</v>
      </c>
      <c r="F110" s="15">
        <v>1</v>
      </c>
      <c r="G110" s="15" t="s">
        <v>77</v>
      </c>
    </row>
    <row r="111" spans="1:7" ht="15" customHeight="1">
      <c r="A111" s="15"/>
      <c r="B111" s="15" t="s">
        <v>215</v>
      </c>
      <c r="C111" s="16" t="s">
        <v>216</v>
      </c>
      <c r="D111" s="20" t="s">
        <v>27</v>
      </c>
      <c r="E111" s="19" t="s">
        <v>16</v>
      </c>
      <c r="F111" s="15">
        <v>2</v>
      </c>
      <c r="G111" s="15" t="s">
        <v>77</v>
      </c>
    </row>
    <row r="112" spans="1:7" ht="15" customHeight="1">
      <c r="A112" s="12" t="s">
        <v>217</v>
      </c>
      <c r="B112" s="12"/>
      <c r="C112" s="12"/>
      <c r="D112" s="12"/>
      <c r="E112" s="12"/>
      <c r="F112" s="12"/>
      <c r="G112" s="12"/>
    </row>
    <row r="113" spans="1:7" ht="23.25" customHeight="1">
      <c r="A113" s="15"/>
      <c r="B113" s="15" t="s">
        <v>218</v>
      </c>
      <c r="C113" s="16" t="s">
        <v>219</v>
      </c>
      <c r="D113" s="17" t="s">
        <v>11</v>
      </c>
      <c r="E113" s="19" t="s">
        <v>16</v>
      </c>
      <c r="F113" s="15">
        <v>2</v>
      </c>
      <c r="G113" s="15" t="s">
        <v>220</v>
      </c>
    </row>
    <row r="114" spans="1:7" ht="23.25" customHeight="1">
      <c r="A114" s="15"/>
      <c r="B114" s="15" t="s">
        <v>221</v>
      </c>
      <c r="C114" s="16" t="s">
        <v>222</v>
      </c>
      <c r="D114" s="17" t="s">
        <v>11</v>
      </c>
      <c r="E114" s="19" t="s">
        <v>16</v>
      </c>
      <c r="F114" s="15">
        <v>1.5</v>
      </c>
      <c r="G114" s="15" t="s">
        <v>220</v>
      </c>
    </row>
    <row r="115" spans="1:7" ht="23.25" customHeight="1">
      <c r="A115" s="15"/>
      <c r="B115" s="15" t="s">
        <v>223</v>
      </c>
      <c r="C115" s="16" t="s">
        <v>224</v>
      </c>
      <c r="D115" s="17" t="s">
        <v>11</v>
      </c>
      <c r="E115" s="19" t="s">
        <v>16</v>
      </c>
      <c r="F115" s="15">
        <v>1.5</v>
      </c>
      <c r="G115" s="15" t="s">
        <v>220</v>
      </c>
    </row>
    <row r="116" spans="1:7" ht="15" customHeight="1">
      <c r="A116" s="12" t="s">
        <v>225</v>
      </c>
      <c r="B116" s="12"/>
      <c r="C116" s="12"/>
      <c r="D116" s="12"/>
      <c r="E116" s="12"/>
      <c r="F116" s="12"/>
      <c r="G116" s="12"/>
    </row>
    <row r="117" spans="1:7" ht="23.25" customHeight="1">
      <c r="A117" s="15"/>
      <c r="B117" s="15" t="s">
        <v>226</v>
      </c>
      <c r="C117" s="16" t="s">
        <v>227</v>
      </c>
      <c r="D117" s="20" t="s">
        <v>27</v>
      </c>
      <c r="E117" s="19" t="s">
        <v>16</v>
      </c>
      <c r="F117" s="15">
        <v>2</v>
      </c>
      <c r="G117" s="15" t="s">
        <v>77</v>
      </c>
    </row>
    <row r="118" spans="1:7" ht="23.25" customHeight="1">
      <c r="A118" s="15"/>
      <c r="B118" s="15" t="s">
        <v>228</v>
      </c>
      <c r="C118" s="16" t="s">
        <v>229</v>
      </c>
      <c r="D118" s="17" t="s">
        <v>11</v>
      </c>
      <c r="E118" s="19" t="s">
        <v>16</v>
      </c>
      <c r="F118" s="15">
        <v>3</v>
      </c>
      <c r="G118" s="15" t="s">
        <v>77</v>
      </c>
    </row>
    <row r="119" spans="1:7" ht="15" customHeight="1">
      <c r="E119" s="24" t="s">
        <v>230</v>
      </c>
      <c r="F119" s="25">
        <f>SUM(F3:F118)</f>
        <v>105.5</v>
      </c>
    </row>
  </sheetData>
  <mergeCells count="25">
    <mergeCell ref="A100:G100"/>
    <mergeCell ref="A104:G104"/>
    <mergeCell ref="A108:G108"/>
    <mergeCell ref="A112:G112"/>
    <mergeCell ref="A116:G116"/>
    <mergeCell ref="A82:G82"/>
    <mergeCell ref="A85:G85"/>
    <mergeCell ref="A88:G88"/>
    <mergeCell ref="A91:G91"/>
    <mergeCell ref="A95:G95"/>
    <mergeCell ref="A59:G59"/>
    <mergeCell ref="A64:G64"/>
    <mergeCell ref="A67:G67"/>
    <mergeCell ref="A72:G72"/>
    <mergeCell ref="A76:G76"/>
    <mergeCell ref="A33:G33"/>
    <mergeCell ref="A37:G37"/>
    <mergeCell ref="A42:G42"/>
    <mergeCell ref="A48:G48"/>
    <mergeCell ref="A53:G53"/>
    <mergeCell ref="A1:G1"/>
    <mergeCell ref="A3:G3"/>
    <mergeCell ref="A12:G12"/>
    <mergeCell ref="A20:G20"/>
    <mergeCell ref="A28:G2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/>
  <cols>
    <col min="1" max="1" width="12" customWidth="1"/>
    <col min="2" max="5" width="16" customWidth="1"/>
  </cols>
  <sheetData>
    <row r="1" spans="1:5" ht="25.5" customHeight="1">
      <c r="A1" s="11" t="s">
        <v>231</v>
      </c>
      <c r="B1" s="11"/>
      <c r="C1" s="11"/>
      <c r="D1" s="11"/>
      <c r="E1" s="11"/>
    </row>
    <row r="2" spans="1:5" ht="15" customHeight="1">
      <c r="A2" s="14" t="s">
        <v>232</v>
      </c>
      <c r="B2" s="14" t="s">
        <v>7</v>
      </c>
      <c r="C2" s="14" t="s">
        <v>233</v>
      </c>
      <c r="D2" s="14" t="s">
        <v>234</v>
      </c>
      <c r="E2" s="14" t="s">
        <v>235</v>
      </c>
    </row>
    <row r="3" spans="1:5" ht="15" customHeight="1">
      <c r="A3" s="16" t="s">
        <v>236</v>
      </c>
      <c r="B3" s="16" t="s">
        <v>13</v>
      </c>
      <c r="C3" s="15">
        <v>4.5</v>
      </c>
      <c r="D3" s="15">
        <v>1</v>
      </c>
      <c r="E3" s="15">
        <v>1</v>
      </c>
    </row>
    <row r="4" spans="1:5" ht="15" customHeight="1">
      <c r="A4" s="16" t="s">
        <v>237</v>
      </c>
      <c r="B4" s="16" t="s">
        <v>13</v>
      </c>
      <c r="C4" s="15">
        <v>4</v>
      </c>
      <c r="D4" s="15">
        <v>2</v>
      </c>
      <c r="E4" s="15">
        <v>0</v>
      </c>
    </row>
    <row r="5" spans="1:5" ht="15" customHeight="1">
      <c r="A5" s="16" t="s">
        <v>238</v>
      </c>
      <c r="B5" s="16" t="s">
        <v>50</v>
      </c>
      <c r="C5" s="15">
        <v>7</v>
      </c>
      <c r="D5" s="15">
        <v>1.75</v>
      </c>
      <c r="E5" s="15">
        <v>0</v>
      </c>
    </row>
    <row r="6" spans="1:5" ht="15" customHeight="1">
      <c r="A6" s="16" t="s">
        <v>239</v>
      </c>
      <c r="B6" s="16" t="s">
        <v>67</v>
      </c>
      <c r="C6" s="15">
        <v>1.5</v>
      </c>
      <c r="D6" s="15">
        <v>1.5</v>
      </c>
      <c r="E6" s="15">
        <v>0</v>
      </c>
    </row>
    <row r="7" spans="1:5" ht="15" customHeight="1">
      <c r="A7" s="16" t="s">
        <v>240</v>
      </c>
      <c r="B7" s="16" t="s">
        <v>77</v>
      </c>
      <c r="C7" s="15">
        <v>2</v>
      </c>
      <c r="D7" s="15">
        <v>1</v>
      </c>
      <c r="E7" s="15">
        <v>0</v>
      </c>
    </row>
    <row r="8" spans="1:5" ht="15" customHeight="1">
      <c r="A8" s="16" t="s">
        <v>241</v>
      </c>
      <c r="B8" s="16" t="s">
        <v>77</v>
      </c>
      <c r="C8" s="15">
        <v>3</v>
      </c>
      <c r="D8" s="15">
        <v>1</v>
      </c>
      <c r="E8" s="15">
        <v>0</v>
      </c>
    </row>
    <row r="9" spans="1:5" ht="15" customHeight="1">
      <c r="A9" s="16" t="s">
        <v>242</v>
      </c>
      <c r="B9" s="16" t="s">
        <v>13</v>
      </c>
      <c r="C9" s="15">
        <v>2.5</v>
      </c>
      <c r="D9" s="15">
        <v>1.5</v>
      </c>
      <c r="E9" s="15">
        <v>0</v>
      </c>
    </row>
    <row r="10" spans="1:5" ht="15" customHeight="1">
      <c r="A10" s="16" t="s">
        <v>243</v>
      </c>
      <c r="B10" s="16" t="s">
        <v>13</v>
      </c>
      <c r="C10" s="15">
        <v>3.5</v>
      </c>
      <c r="D10" s="15">
        <v>0</v>
      </c>
      <c r="E10" s="15">
        <v>0</v>
      </c>
    </row>
    <row r="11" spans="1:5" ht="15" customHeight="1">
      <c r="A11" s="16" t="s">
        <v>244</v>
      </c>
      <c r="B11" s="16" t="s">
        <v>13</v>
      </c>
      <c r="C11" s="15">
        <v>0</v>
      </c>
      <c r="D11" s="15">
        <v>4</v>
      </c>
      <c r="E11" s="15">
        <v>1</v>
      </c>
    </row>
    <row r="12" spans="1:5" ht="15" customHeight="1">
      <c r="A12" s="16" t="s">
        <v>245</v>
      </c>
      <c r="B12" s="16" t="s">
        <v>13</v>
      </c>
      <c r="C12" s="15">
        <v>3</v>
      </c>
      <c r="D12" s="15">
        <v>0.5</v>
      </c>
      <c r="E12" s="15">
        <v>0</v>
      </c>
    </row>
    <row r="13" spans="1:5" ht="15" customHeight="1">
      <c r="A13" s="16" t="s">
        <v>246</v>
      </c>
      <c r="B13" s="16" t="s">
        <v>13</v>
      </c>
      <c r="C13" s="15">
        <v>1</v>
      </c>
      <c r="D13" s="15">
        <v>0.75</v>
      </c>
      <c r="E13" s="15">
        <v>0</v>
      </c>
    </row>
    <row r="14" spans="1:5" ht="15" customHeight="1">
      <c r="A14" s="16" t="s">
        <v>247</v>
      </c>
      <c r="B14" s="16" t="s">
        <v>13</v>
      </c>
      <c r="C14" s="15">
        <v>2</v>
      </c>
      <c r="D14" s="15">
        <v>2</v>
      </c>
      <c r="E14" s="15">
        <v>0</v>
      </c>
    </row>
    <row r="15" spans="1:5" ht="15" customHeight="1">
      <c r="A15" s="16" t="s">
        <v>248</v>
      </c>
      <c r="B15" s="16" t="s">
        <v>148</v>
      </c>
      <c r="C15" s="15">
        <v>1</v>
      </c>
      <c r="D15" s="15">
        <v>2</v>
      </c>
      <c r="E15" s="15">
        <v>0</v>
      </c>
    </row>
    <row r="16" spans="1:5" ht="15" customHeight="1">
      <c r="A16" s="16" t="s">
        <v>249</v>
      </c>
      <c r="B16" s="16" t="s">
        <v>77</v>
      </c>
      <c r="C16" s="15">
        <v>8</v>
      </c>
      <c r="D16" s="15">
        <v>0</v>
      </c>
      <c r="E16" s="15">
        <v>0</v>
      </c>
    </row>
    <row r="17" spans="1:5" ht="15" customHeight="1">
      <c r="A17" s="16" t="s">
        <v>250</v>
      </c>
      <c r="B17" s="16" t="s">
        <v>77</v>
      </c>
      <c r="C17" s="15">
        <v>1</v>
      </c>
      <c r="D17" s="15">
        <v>1.5</v>
      </c>
      <c r="E17" s="15">
        <v>0</v>
      </c>
    </row>
    <row r="18" spans="1:5" ht="15" customHeight="1">
      <c r="A18" s="16" t="s">
        <v>251</v>
      </c>
      <c r="B18" s="16" t="s">
        <v>77</v>
      </c>
      <c r="C18" s="15">
        <v>1.5</v>
      </c>
      <c r="D18" s="15">
        <v>2</v>
      </c>
      <c r="E18" s="15">
        <v>0</v>
      </c>
    </row>
    <row r="19" spans="1:5" ht="15" customHeight="1">
      <c r="A19" s="16" t="s">
        <v>252</v>
      </c>
      <c r="B19" s="16" t="s">
        <v>77</v>
      </c>
      <c r="C19" s="15">
        <v>1.5</v>
      </c>
      <c r="D19" s="15">
        <v>0.5</v>
      </c>
      <c r="E19" s="15">
        <v>0</v>
      </c>
    </row>
    <row r="20" spans="1:5" ht="15" customHeight="1">
      <c r="A20" s="16" t="s">
        <v>253</v>
      </c>
      <c r="B20" s="16" t="s">
        <v>77</v>
      </c>
      <c r="C20" s="15">
        <v>3</v>
      </c>
      <c r="D20" s="15">
        <v>2</v>
      </c>
      <c r="E20" s="15">
        <v>0</v>
      </c>
    </row>
    <row r="21" spans="1:5" ht="15" customHeight="1">
      <c r="A21" s="16" t="s">
        <v>254</v>
      </c>
      <c r="B21" s="16" t="s">
        <v>189</v>
      </c>
      <c r="C21" s="15">
        <v>3.5</v>
      </c>
      <c r="D21" s="15">
        <v>1</v>
      </c>
      <c r="E21" s="15">
        <v>0</v>
      </c>
    </row>
    <row r="22" spans="1:5" ht="15" customHeight="1">
      <c r="A22" s="16" t="s">
        <v>255</v>
      </c>
      <c r="B22" s="16" t="s">
        <v>67</v>
      </c>
      <c r="C22" s="15">
        <v>1.5</v>
      </c>
      <c r="D22" s="15">
        <v>2.5</v>
      </c>
      <c r="E22" s="15">
        <v>0</v>
      </c>
    </row>
    <row r="23" spans="1:5" ht="15" customHeight="1">
      <c r="A23" s="16" t="s">
        <v>256</v>
      </c>
      <c r="B23" s="16" t="s">
        <v>77</v>
      </c>
      <c r="C23" s="15">
        <v>3.5</v>
      </c>
      <c r="D23" s="15">
        <v>1.5</v>
      </c>
      <c r="E23" s="15">
        <v>0</v>
      </c>
    </row>
    <row r="24" spans="1:5" ht="15" customHeight="1">
      <c r="A24" s="16" t="s">
        <v>257</v>
      </c>
      <c r="B24" s="16" t="s">
        <v>77</v>
      </c>
      <c r="C24" s="15">
        <v>3</v>
      </c>
      <c r="D24" s="15">
        <v>0</v>
      </c>
      <c r="E24" s="15">
        <v>2</v>
      </c>
    </row>
    <row r="25" spans="1:5" ht="15" customHeight="1">
      <c r="A25" s="16" t="s">
        <v>258</v>
      </c>
      <c r="B25" s="16" t="s">
        <v>220</v>
      </c>
      <c r="C25" s="15">
        <v>5</v>
      </c>
      <c r="D25" s="15">
        <v>0</v>
      </c>
      <c r="E25" s="15">
        <v>0</v>
      </c>
    </row>
    <row r="26" spans="1:5" ht="15" customHeight="1">
      <c r="A26" s="16" t="s">
        <v>259</v>
      </c>
      <c r="B26" s="16" t="s">
        <v>77</v>
      </c>
      <c r="C26" s="15">
        <v>3</v>
      </c>
      <c r="D26" s="15">
        <v>0</v>
      </c>
      <c r="E26" s="15">
        <v>2</v>
      </c>
    </row>
    <row r="27" spans="1:5" ht="15" customHeight="1">
      <c r="A27" s="26" t="s">
        <v>260</v>
      </c>
      <c r="C27" s="25">
        <f>SUM(C3:C26)</f>
        <v>69.5</v>
      </c>
      <c r="D27" s="25">
        <f>SUM(D3:D26)</f>
        <v>30</v>
      </c>
      <c r="E27" s="25">
        <f>SUM(E3:E26)</f>
        <v>6</v>
      </c>
    </row>
    <row r="29" spans="1:5" ht="32.25" customHeight="1">
      <c r="A29" s="10" t="s">
        <v>261</v>
      </c>
      <c r="B29" s="10"/>
      <c r="C29" s="10"/>
      <c r="D29" s="10"/>
      <c r="E29" s="10"/>
    </row>
  </sheetData>
  <mergeCells count="2">
    <mergeCell ref="A1:E1"/>
    <mergeCell ref="A29:E2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5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/>
  <cols>
    <col min="1" max="1" width="20" customWidth="1"/>
    <col min="2" max="2" width="66" customWidth="1"/>
    <col min="3" max="3" width="7" customWidth="1"/>
    <col min="4" max="4" width="10" customWidth="1"/>
  </cols>
  <sheetData>
    <row r="1" spans="1:4" ht="33.75" customHeight="1">
      <c r="A1" s="13" t="s">
        <v>262</v>
      </c>
      <c r="B1" s="13"/>
      <c r="C1" s="13"/>
      <c r="D1" s="13"/>
    </row>
    <row r="2" spans="1:4">
      <c r="A2" s="14" t="s">
        <v>263</v>
      </c>
      <c r="B2" s="14" t="s">
        <v>264</v>
      </c>
      <c r="C2" s="14" t="s">
        <v>6</v>
      </c>
      <c r="D2" s="14" t="s">
        <v>265</v>
      </c>
    </row>
    <row r="3" spans="1:4" ht="30" customHeight="1">
      <c r="A3" s="9" t="s">
        <v>266</v>
      </c>
      <c r="B3" s="9"/>
      <c r="C3" s="9"/>
      <c r="D3" s="9"/>
    </row>
    <row r="4" spans="1:4" ht="15" customHeight="1">
      <c r="A4" s="8" t="s">
        <v>267</v>
      </c>
      <c r="B4" s="27" t="s">
        <v>268</v>
      </c>
      <c r="C4" s="28">
        <v>3.5</v>
      </c>
      <c r="D4" s="7">
        <v>6.5</v>
      </c>
    </row>
    <row r="5" spans="1:4">
      <c r="A5" s="8"/>
      <c r="B5" s="27" t="s">
        <v>269</v>
      </c>
      <c r="C5" s="28">
        <v>1</v>
      </c>
      <c r="D5" s="7"/>
    </row>
    <row r="6" spans="1:4">
      <c r="A6" s="8"/>
      <c r="B6" s="27" t="s">
        <v>270</v>
      </c>
      <c r="C6" s="28">
        <v>0.5</v>
      </c>
      <c r="D6" s="7"/>
    </row>
    <row r="7" spans="1:4">
      <c r="A7" s="8"/>
      <c r="B7" s="27" t="s">
        <v>271</v>
      </c>
      <c r="C7" s="28">
        <v>1.5</v>
      </c>
      <c r="D7" s="7"/>
    </row>
    <row r="8" spans="1:4" ht="15" customHeight="1">
      <c r="A8" s="6" t="s">
        <v>272</v>
      </c>
      <c r="B8" s="27" t="s">
        <v>273</v>
      </c>
      <c r="C8" s="28">
        <v>1</v>
      </c>
      <c r="D8" s="5">
        <v>6</v>
      </c>
    </row>
    <row r="9" spans="1:4">
      <c r="A9" s="6"/>
      <c r="B9" s="27" t="s">
        <v>274</v>
      </c>
      <c r="C9" s="28">
        <v>1</v>
      </c>
      <c r="D9" s="5"/>
    </row>
    <row r="10" spans="1:4">
      <c r="A10" s="6"/>
      <c r="B10" s="27" t="s">
        <v>275</v>
      </c>
      <c r="C10" s="28">
        <v>1</v>
      </c>
      <c r="D10" s="5"/>
    </row>
    <row r="11" spans="1:4">
      <c r="A11" s="6"/>
      <c r="B11" s="27" t="s">
        <v>276</v>
      </c>
      <c r="C11" s="28">
        <v>1</v>
      </c>
      <c r="D11" s="5"/>
    </row>
    <row r="12" spans="1:4">
      <c r="A12" s="6"/>
      <c r="B12" s="27" t="s">
        <v>277</v>
      </c>
      <c r="C12" s="28">
        <v>1</v>
      </c>
      <c r="D12" s="5"/>
    </row>
    <row r="13" spans="1:4">
      <c r="A13" s="6"/>
      <c r="B13" s="27" t="s">
        <v>278</v>
      </c>
      <c r="C13" s="28">
        <v>1</v>
      </c>
      <c r="D13" s="5"/>
    </row>
    <row r="14" spans="1:4" ht="15" customHeight="1">
      <c r="A14" s="4" t="s">
        <v>279</v>
      </c>
      <c r="B14" s="27" t="s">
        <v>280</v>
      </c>
      <c r="C14" s="28">
        <v>1</v>
      </c>
      <c r="D14" s="3">
        <v>4.5</v>
      </c>
    </row>
    <row r="15" spans="1:4">
      <c r="A15" s="4"/>
      <c r="B15" s="27" t="s">
        <v>281</v>
      </c>
      <c r="C15" s="28">
        <v>0.75</v>
      </c>
      <c r="D15" s="3"/>
    </row>
    <row r="16" spans="1:4">
      <c r="A16" s="4"/>
      <c r="B16" s="27" t="s">
        <v>282</v>
      </c>
      <c r="C16" s="28">
        <v>0.75</v>
      </c>
      <c r="D16" s="3"/>
    </row>
    <row r="17" spans="1:4">
      <c r="A17" s="4"/>
      <c r="B17" s="27" t="s">
        <v>283</v>
      </c>
      <c r="C17" s="28">
        <v>0.75</v>
      </c>
      <c r="D17" s="3"/>
    </row>
    <row r="18" spans="1:4">
      <c r="A18" s="4"/>
      <c r="B18" s="27" t="s">
        <v>284</v>
      </c>
      <c r="C18" s="28">
        <v>0.5</v>
      </c>
      <c r="D18" s="3"/>
    </row>
    <row r="19" spans="1:4">
      <c r="A19" s="4"/>
      <c r="B19" s="27" t="s">
        <v>285</v>
      </c>
      <c r="C19" s="28">
        <v>0.75</v>
      </c>
      <c r="D19" s="3"/>
    </row>
    <row r="20" spans="1:4">
      <c r="B20" s="24" t="s">
        <v>286</v>
      </c>
      <c r="C20" s="25">
        <v>17</v>
      </c>
      <c r="D20" s="29" t="s">
        <v>287</v>
      </c>
    </row>
    <row r="22" spans="1:4" ht="30" customHeight="1">
      <c r="A22" s="9" t="s">
        <v>288</v>
      </c>
      <c r="B22" s="9"/>
      <c r="C22" s="9"/>
      <c r="D22" s="9"/>
    </row>
    <row r="23" spans="1:4" ht="15" customHeight="1">
      <c r="A23" s="8" t="s">
        <v>267</v>
      </c>
      <c r="B23" s="27" t="s">
        <v>289</v>
      </c>
      <c r="C23" s="28">
        <v>1.5</v>
      </c>
      <c r="D23" s="7">
        <v>6.5</v>
      </c>
    </row>
    <row r="24" spans="1:4">
      <c r="A24" s="8"/>
      <c r="B24" s="27" t="s">
        <v>290</v>
      </c>
      <c r="C24" s="28">
        <v>2.5</v>
      </c>
      <c r="D24" s="7"/>
    </row>
    <row r="25" spans="1:4">
      <c r="A25" s="8"/>
      <c r="B25" s="27" t="s">
        <v>291</v>
      </c>
      <c r="C25" s="28">
        <v>1</v>
      </c>
      <c r="D25" s="7"/>
    </row>
    <row r="26" spans="1:4">
      <c r="A26" s="8"/>
      <c r="B26" s="27" t="s">
        <v>292</v>
      </c>
      <c r="C26" s="28">
        <v>1.5</v>
      </c>
      <c r="D26" s="7"/>
    </row>
    <row r="27" spans="1:4" ht="15" customHeight="1">
      <c r="A27" s="6" t="s">
        <v>272</v>
      </c>
      <c r="B27" s="27" t="s">
        <v>293</v>
      </c>
      <c r="C27" s="28">
        <v>2.5</v>
      </c>
      <c r="D27" s="5">
        <v>6</v>
      </c>
    </row>
    <row r="28" spans="1:4">
      <c r="A28" s="6"/>
      <c r="B28" s="27" t="s">
        <v>294</v>
      </c>
      <c r="C28" s="28">
        <v>1.5</v>
      </c>
      <c r="D28" s="5"/>
    </row>
    <row r="29" spans="1:4">
      <c r="A29" s="6"/>
      <c r="B29" s="27" t="s">
        <v>295</v>
      </c>
      <c r="C29" s="28">
        <v>2</v>
      </c>
      <c r="D29" s="5"/>
    </row>
    <row r="30" spans="1:4" ht="15" customHeight="1">
      <c r="A30" s="4" t="s">
        <v>279</v>
      </c>
      <c r="B30" s="27" t="s">
        <v>296</v>
      </c>
      <c r="C30" s="28">
        <v>0.75</v>
      </c>
      <c r="D30" s="3">
        <v>6.25</v>
      </c>
    </row>
    <row r="31" spans="1:4">
      <c r="A31" s="4"/>
      <c r="B31" s="27" t="s">
        <v>297</v>
      </c>
      <c r="C31" s="28">
        <v>1.5</v>
      </c>
      <c r="D31" s="3"/>
    </row>
    <row r="32" spans="1:4">
      <c r="A32" s="4"/>
      <c r="B32" s="27" t="s">
        <v>298</v>
      </c>
      <c r="C32" s="28">
        <v>1.5</v>
      </c>
      <c r="D32" s="3"/>
    </row>
    <row r="33" spans="1:4">
      <c r="A33" s="4"/>
      <c r="B33" s="27" t="s">
        <v>299</v>
      </c>
      <c r="C33" s="28">
        <v>1</v>
      </c>
      <c r="D33" s="3"/>
    </row>
    <row r="34" spans="1:4">
      <c r="A34" s="4"/>
      <c r="B34" s="27" t="s">
        <v>300</v>
      </c>
      <c r="C34" s="28">
        <v>1.5</v>
      </c>
      <c r="D34" s="3"/>
    </row>
    <row r="35" spans="1:4">
      <c r="B35" s="24" t="s">
        <v>286</v>
      </c>
      <c r="C35" s="25">
        <v>18.75</v>
      </c>
      <c r="D35" s="29" t="s">
        <v>287</v>
      </c>
    </row>
    <row r="37" spans="1:4" ht="30" customHeight="1">
      <c r="A37" s="9" t="s">
        <v>301</v>
      </c>
      <c r="B37" s="9"/>
      <c r="C37" s="9"/>
      <c r="D37" s="9"/>
    </row>
    <row r="38" spans="1:4" ht="15" customHeight="1">
      <c r="A38" s="8" t="s">
        <v>267</v>
      </c>
      <c r="B38" s="27" t="s">
        <v>302</v>
      </c>
      <c r="C38" s="28">
        <v>1</v>
      </c>
      <c r="D38" s="7">
        <v>6</v>
      </c>
    </row>
    <row r="39" spans="1:4">
      <c r="A39" s="8"/>
      <c r="B39" s="27" t="s">
        <v>303</v>
      </c>
      <c r="C39" s="28">
        <v>1</v>
      </c>
      <c r="D39" s="7"/>
    </row>
    <row r="40" spans="1:4">
      <c r="A40" s="8"/>
      <c r="B40" s="27" t="s">
        <v>304</v>
      </c>
      <c r="C40" s="28">
        <v>3</v>
      </c>
      <c r="D40" s="7"/>
    </row>
    <row r="41" spans="1:4">
      <c r="A41" s="8"/>
      <c r="B41" s="27" t="s">
        <v>305</v>
      </c>
      <c r="C41" s="28">
        <v>1</v>
      </c>
      <c r="D41" s="7"/>
    </row>
    <row r="42" spans="1:4" ht="15" customHeight="1">
      <c r="A42" s="6" t="s">
        <v>272</v>
      </c>
      <c r="B42" s="27" t="s">
        <v>306</v>
      </c>
      <c r="C42" s="28">
        <v>1</v>
      </c>
      <c r="D42" s="5">
        <v>7</v>
      </c>
    </row>
    <row r="43" spans="1:4">
      <c r="A43" s="6"/>
      <c r="B43" s="27" t="s">
        <v>307</v>
      </c>
      <c r="C43" s="28">
        <v>1</v>
      </c>
      <c r="D43" s="5"/>
    </row>
    <row r="44" spans="1:4">
      <c r="A44" s="6"/>
      <c r="B44" s="27" t="s">
        <v>308</v>
      </c>
      <c r="C44" s="28">
        <v>2</v>
      </c>
      <c r="D44" s="5"/>
    </row>
    <row r="45" spans="1:4">
      <c r="A45" s="6"/>
      <c r="B45" s="27" t="s">
        <v>309</v>
      </c>
      <c r="C45" s="28">
        <v>1.5</v>
      </c>
      <c r="D45" s="5"/>
    </row>
    <row r="46" spans="1:4">
      <c r="A46" s="6"/>
      <c r="B46" s="27" t="s">
        <v>310</v>
      </c>
      <c r="C46" s="28">
        <v>1.5</v>
      </c>
      <c r="D46" s="5"/>
    </row>
    <row r="47" spans="1:4" ht="15" customHeight="1">
      <c r="A47" s="4" t="s">
        <v>279</v>
      </c>
      <c r="B47" s="27" t="s">
        <v>311</v>
      </c>
      <c r="C47" s="28">
        <v>2.25</v>
      </c>
      <c r="D47" s="3">
        <v>7.25</v>
      </c>
    </row>
    <row r="48" spans="1:4">
      <c r="A48" s="4"/>
      <c r="B48" s="27" t="s">
        <v>312</v>
      </c>
      <c r="C48" s="28">
        <v>1.75</v>
      </c>
      <c r="D48" s="3"/>
    </row>
    <row r="49" spans="1:4">
      <c r="A49" s="4"/>
      <c r="B49" s="27" t="s">
        <v>313</v>
      </c>
      <c r="C49" s="28">
        <v>0.5</v>
      </c>
      <c r="D49" s="3"/>
    </row>
    <row r="50" spans="1:4">
      <c r="A50" s="4"/>
      <c r="B50" s="27" t="s">
        <v>314</v>
      </c>
      <c r="C50" s="28">
        <v>0.75</v>
      </c>
      <c r="D50" s="3"/>
    </row>
    <row r="51" spans="1:4">
      <c r="A51" s="4"/>
      <c r="B51" s="27" t="s">
        <v>315</v>
      </c>
      <c r="C51" s="28">
        <v>2</v>
      </c>
      <c r="D51" s="3"/>
    </row>
    <row r="52" spans="1:4">
      <c r="B52" s="24" t="s">
        <v>286</v>
      </c>
      <c r="C52" s="25">
        <v>20.25</v>
      </c>
      <c r="D52" s="29" t="s">
        <v>287</v>
      </c>
    </row>
    <row r="53" spans="1:4" ht="25.5" customHeight="1">
      <c r="A53" s="2" t="s">
        <v>316</v>
      </c>
      <c r="B53" s="2"/>
      <c r="C53" s="2"/>
      <c r="D53" s="2"/>
    </row>
    <row r="55" spans="1:4" ht="30" customHeight="1">
      <c r="A55" s="9" t="s">
        <v>317</v>
      </c>
      <c r="B55" s="9"/>
      <c r="C55" s="9"/>
      <c r="D55" s="9"/>
    </row>
    <row r="56" spans="1:4" ht="15" customHeight="1">
      <c r="A56" s="8" t="s">
        <v>267</v>
      </c>
      <c r="B56" s="27" t="s">
        <v>318</v>
      </c>
      <c r="C56" s="28">
        <v>3</v>
      </c>
      <c r="D56" s="7">
        <v>6</v>
      </c>
    </row>
    <row r="57" spans="1:4">
      <c r="A57" s="8"/>
      <c r="B57" s="27" t="s">
        <v>319</v>
      </c>
      <c r="C57" s="28">
        <v>1</v>
      </c>
      <c r="D57" s="7"/>
    </row>
    <row r="58" spans="1:4">
      <c r="A58" s="8"/>
      <c r="B58" s="27" t="s">
        <v>320</v>
      </c>
      <c r="C58" s="28">
        <v>2</v>
      </c>
      <c r="D58" s="7"/>
    </row>
    <row r="59" spans="1:4" ht="15" customHeight="1">
      <c r="A59" s="6" t="s">
        <v>272</v>
      </c>
      <c r="B59" s="27" t="s">
        <v>321</v>
      </c>
      <c r="C59" s="28">
        <v>3</v>
      </c>
      <c r="D59" s="5">
        <v>7</v>
      </c>
    </row>
    <row r="60" spans="1:4">
      <c r="A60" s="6"/>
      <c r="B60" s="27" t="s">
        <v>322</v>
      </c>
      <c r="C60" s="28">
        <v>1.5</v>
      </c>
      <c r="D60" s="5"/>
    </row>
    <row r="61" spans="1:4">
      <c r="A61" s="6"/>
      <c r="B61" s="27" t="s">
        <v>323</v>
      </c>
      <c r="C61" s="28">
        <v>2.5</v>
      </c>
      <c r="D61" s="5"/>
    </row>
    <row r="62" spans="1:4" ht="15" customHeight="1">
      <c r="A62" s="4" t="s">
        <v>279</v>
      </c>
      <c r="B62" s="27" t="s">
        <v>324</v>
      </c>
      <c r="C62" s="28">
        <v>1</v>
      </c>
      <c r="D62" s="3">
        <v>5.5</v>
      </c>
    </row>
    <row r="63" spans="1:4">
      <c r="A63" s="4"/>
      <c r="B63" s="27" t="s">
        <v>325</v>
      </c>
      <c r="C63" s="28">
        <v>1</v>
      </c>
      <c r="D63" s="3"/>
    </row>
    <row r="64" spans="1:4">
      <c r="A64" s="4"/>
      <c r="B64" s="27" t="s">
        <v>326</v>
      </c>
      <c r="C64" s="28">
        <v>1</v>
      </c>
      <c r="D64" s="3"/>
    </row>
    <row r="65" spans="1:4">
      <c r="A65" s="4"/>
      <c r="B65" s="27" t="s">
        <v>327</v>
      </c>
      <c r="C65" s="28">
        <v>1</v>
      </c>
      <c r="D65" s="3"/>
    </row>
    <row r="66" spans="1:4">
      <c r="A66" s="4"/>
      <c r="B66" s="27" t="s">
        <v>328</v>
      </c>
      <c r="C66" s="28">
        <v>1.5</v>
      </c>
      <c r="D66" s="3"/>
    </row>
    <row r="67" spans="1:4">
      <c r="B67" s="24" t="s">
        <v>286</v>
      </c>
      <c r="C67" s="25">
        <v>18.5</v>
      </c>
      <c r="D67" s="29" t="s">
        <v>287</v>
      </c>
    </row>
    <row r="68" spans="1:4" ht="25.5" customHeight="1">
      <c r="A68" s="2" t="s">
        <v>329</v>
      </c>
      <c r="B68" s="2"/>
      <c r="C68" s="2"/>
      <c r="D68" s="2"/>
    </row>
    <row r="70" spans="1:4" ht="30" customHeight="1">
      <c r="A70" s="9" t="s">
        <v>330</v>
      </c>
      <c r="B70" s="9"/>
      <c r="C70" s="9"/>
      <c r="D70" s="9"/>
    </row>
    <row r="71" spans="1:4" ht="15" customHeight="1">
      <c r="A71" s="8" t="s">
        <v>267</v>
      </c>
      <c r="B71" s="27" t="s">
        <v>331</v>
      </c>
      <c r="C71" s="28">
        <v>1.5</v>
      </c>
      <c r="D71" s="7">
        <v>6.5</v>
      </c>
    </row>
    <row r="72" spans="1:4">
      <c r="A72" s="8"/>
      <c r="B72" s="27" t="s">
        <v>332</v>
      </c>
      <c r="C72" s="28">
        <v>2</v>
      </c>
      <c r="D72" s="7"/>
    </row>
    <row r="73" spans="1:4">
      <c r="A73" s="8"/>
      <c r="B73" s="27" t="s">
        <v>333</v>
      </c>
      <c r="C73" s="28">
        <v>0.5</v>
      </c>
      <c r="D73" s="7"/>
    </row>
    <row r="74" spans="1:4">
      <c r="A74" s="8"/>
      <c r="B74" s="27" t="s">
        <v>334</v>
      </c>
      <c r="C74" s="28">
        <v>1</v>
      </c>
      <c r="D74" s="7"/>
    </row>
    <row r="75" spans="1:4">
      <c r="A75" s="8"/>
      <c r="B75" s="27" t="s">
        <v>335</v>
      </c>
      <c r="C75" s="28">
        <v>1.5</v>
      </c>
      <c r="D75" s="7"/>
    </row>
    <row r="76" spans="1:4" ht="15" customHeight="1">
      <c r="A76" s="6" t="s">
        <v>272</v>
      </c>
      <c r="B76" s="27" t="s">
        <v>336</v>
      </c>
      <c r="C76" s="28">
        <v>1.5</v>
      </c>
      <c r="D76" s="5">
        <v>6.5</v>
      </c>
    </row>
    <row r="77" spans="1:4">
      <c r="A77" s="6"/>
      <c r="B77" s="27" t="s">
        <v>337</v>
      </c>
      <c r="C77" s="28">
        <v>3</v>
      </c>
      <c r="D77" s="5"/>
    </row>
    <row r="78" spans="1:4">
      <c r="A78" s="6"/>
      <c r="B78" s="27" t="s">
        <v>338</v>
      </c>
      <c r="C78" s="28">
        <v>2</v>
      </c>
      <c r="D78" s="5"/>
    </row>
    <row r="79" spans="1:4" ht="15" customHeight="1">
      <c r="A79" s="4" t="s">
        <v>279</v>
      </c>
      <c r="B79" s="27" t="s">
        <v>339</v>
      </c>
      <c r="C79" s="28">
        <v>2</v>
      </c>
      <c r="D79" s="3">
        <v>4.5</v>
      </c>
    </row>
    <row r="80" spans="1:4">
      <c r="A80" s="4"/>
      <c r="B80" s="27" t="s">
        <v>340</v>
      </c>
      <c r="C80" s="28">
        <v>0.5</v>
      </c>
      <c r="D80" s="3"/>
    </row>
    <row r="81" spans="1:4">
      <c r="A81" s="4"/>
      <c r="B81" s="27" t="s">
        <v>341</v>
      </c>
      <c r="C81" s="28">
        <v>2</v>
      </c>
      <c r="D81" s="3"/>
    </row>
    <row r="82" spans="1:4">
      <c r="B82" s="24" t="s">
        <v>286</v>
      </c>
      <c r="C82" s="25">
        <v>17.5</v>
      </c>
      <c r="D82" s="29" t="s">
        <v>287</v>
      </c>
    </row>
    <row r="84" spans="1:4" ht="30" customHeight="1">
      <c r="A84" s="9" t="s">
        <v>342</v>
      </c>
      <c r="B84" s="9"/>
      <c r="C84" s="9"/>
      <c r="D84" s="9"/>
    </row>
    <row r="85" spans="1:4" ht="15" customHeight="1">
      <c r="A85" s="8" t="s">
        <v>267</v>
      </c>
      <c r="B85" s="27" t="s">
        <v>343</v>
      </c>
      <c r="C85" s="28">
        <v>2</v>
      </c>
      <c r="D85" s="7">
        <v>6.5</v>
      </c>
    </row>
    <row r="86" spans="1:4">
      <c r="A86" s="8"/>
      <c r="B86" s="27" t="s">
        <v>344</v>
      </c>
      <c r="C86" s="28">
        <v>1.5</v>
      </c>
      <c r="D86" s="7"/>
    </row>
    <row r="87" spans="1:4">
      <c r="A87" s="8"/>
      <c r="B87" s="27" t="s">
        <v>345</v>
      </c>
      <c r="C87" s="28">
        <v>3</v>
      </c>
      <c r="D87" s="7"/>
    </row>
    <row r="88" spans="1:4" ht="15" customHeight="1">
      <c r="A88" s="6" t="s">
        <v>272</v>
      </c>
      <c r="B88" s="27" t="s">
        <v>346</v>
      </c>
      <c r="C88" s="28">
        <v>1</v>
      </c>
      <c r="D88" s="5">
        <v>6.5</v>
      </c>
    </row>
    <row r="89" spans="1:4">
      <c r="A89" s="6"/>
      <c r="B89" s="27" t="s">
        <v>347</v>
      </c>
      <c r="C89" s="28">
        <v>2</v>
      </c>
      <c r="D89" s="5"/>
    </row>
    <row r="90" spans="1:4">
      <c r="A90" s="6"/>
      <c r="B90" s="27" t="s">
        <v>348</v>
      </c>
      <c r="C90" s="28">
        <v>2</v>
      </c>
      <c r="D90" s="5"/>
    </row>
    <row r="91" spans="1:4">
      <c r="A91" s="6"/>
      <c r="B91" s="27" t="s">
        <v>349</v>
      </c>
      <c r="C91" s="28">
        <v>1.5</v>
      </c>
      <c r="D91" s="5"/>
    </row>
    <row r="92" spans="1:4" ht="15" customHeight="1">
      <c r="A92" s="4" t="s">
        <v>279</v>
      </c>
      <c r="B92" s="27" t="s">
        <v>350</v>
      </c>
      <c r="C92" s="28">
        <v>1.5</v>
      </c>
      <c r="D92" s="3">
        <v>4.5</v>
      </c>
    </row>
    <row r="93" spans="1:4">
      <c r="A93" s="4"/>
      <c r="B93" s="27" t="s">
        <v>351</v>
      </c>
      <c r="C93" s="28">
        <v>3</v>
      </c>
      <c r="D93" s="3"/>
    </row>
    <row r="94" spans="1:4">
      <c r="B94" s="24" t="s">
        <v>286</v>
      </c>
      <c r="C94" s="25">
        <v>17.5</v>
      </c>
      <c r="D94" s="29" t="s">
        <v>287</v>
      </c>
    </row>
    <row r="95" spans="1:4" ht="25.5" customHeight="1">
      <c r="A95" s="2" t="s">
        <v>352</v>
      </c>
      <c r="B95" s="2"/>
      <c r="C95" s="2"/>
      <c r="D95" s="2"/>
    </row>
  </sheetData>
  <mergeCells count="46">
    <mergeCell ref="A95:D95"/>
    <mergeCell ref="A85:A87"/>
    <mergeCell ref="D85:D87"/>
    <mergeCell ref="A88:A91"/>
    <mergeCell ref="D88:D91"/>
    <mergeCell ref="A92:A93"/>
    <mergeCell ref="D92:D93"/>
    <mergeCell ref="A76:A78"/>
    <mergeCell ref="D76:D78"/>
    <mergeCell ref="A79:A81"/>
    <mergeCell ref="D79:D81"/>
    <mergeCell ref="A84:D84"/>
    <mergeCell ref="A62:A66"/>
    <mergeCell ref="D62:D66"/>
    <mergeCell ref="A68:D68"/>
    <mergeCell ref="A70:D70"/>
    <mergeCell ref="A71:A75"/>
    <mergeCell ref="D71:D75"/>
    <mergeCell ref="A53:D53"/>
    <mergeCell ref="A55:D55"/>
    <mergeCell ref="A56:A58"/>
    <mergeCell ref="D56:D58"/>
    <mergeCell ref="A59:A61"/>
    <mergeCell ref="D59:D61"/>
    <mergeCell ref="A38:A41"/>
    <mergeCell ref="D38:D41"/>
    <mergeCell ref="A42:A46"/>
    <mergeCell ref="D42:D46"/>
    <mergeCell ref="A47:A51"/>
    <mergeCell ref="D47:D51"/>
    <mergeCell ref="A27:A29"/>
    <mergeCell ref="D27:D29"/>
    <mergeCell ref="A30:A34"/>
    <mergeCell ref="D30:D34"/>
    <mergeCell ref="A37:D37"/>
    <mergeCell ref="A14:A19"/>
    <mergeCell ref="D14:D19"/>
    <mergeCell ref="A22:D22"/>
    <mergeCell ref="A23:A26"/>
    <mergeCell ref="D23:D26"/>
    <mergeCell ref="A1:D1"/>
    <mergeCell ref="A3:D3"/>
    <mergeCell ref="A4:A7"/>
    <mergeCell ref="D4:D7"/>
    <mergeCell ref="A8:A13"/>
    <mergeCell ref="D8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zoomScaleNormal="100" workbookViewId="0">
      <pane xSplit="2" ySplit="2" topLeftCell="C3" activePane="bottomRight" state="frozen"/>
      <selection pane="bottomRight"/>
      <selection pane="bottomLeft" activeCell="A3" sqref="A3"/>
      <selection pane="topRight" activeCell="C1" sqref="C1"/>
    </sheetView>
  </sheetViews>
  <sheetFormatPr defaultColWidth="8.7109375" defaultRowHeight="15"/>
  <cols>
    <col min="1" max="1" width="34" customWidth="1"/>
    <col min="2" max="2" width="9" customWidth="1"/>
    <col min="3" max="8" width="6" customWidth="1"/>
  </cols>
  <sheetData>
    <row r="1" spans="1:8" ht="27.75" customHeight="1">
      <c r="A1" s="11" t="s">
        <v>353</v>
      </c>
      <c r="B1" s="11"/>
      <c r="C1" s="11"/>
      <c r="D1" s="11"/>
      <c r="E1" s="11"/>
      <c r="F1" s="11"/>
      <c r="G1" s="11"/>
      <c r="H1" s="11"/>
    </row>
    <row r="2" spans="1:8">
      <c r="A2" s="14" t="s">
        <v>1</v>
      </c>
      <c r="B2" s="14" t="s">
        <v>354</v>
      </c>
      <c r="C2" s="14" t="s">
        <v>355</v>
      </c>
      <c r="D2" s="14" t="s">
        <v>356</v>
      </c>
      <c r="E2" s="14" t="s">
        <v>357</v>
      </c>
      <c r="F2" s="14" t="s">
        <v>358</v>
      </c>
      <c r="G2" s="14" t="s">
        <v>359</v>
      </c>
      <c r="H2" s="14" t="s">
        <v>360</v>
      </c>
    </row>
    <row r="3" spans="1:8">
      <c r="A3" s="27" t="s">
        <v>361</v>
      </c>
      <c r="B3" s="30" t="s">
        <v>13</v>
      </c>
      <c r="C3" s="31"/>
      <c r="D3" s="32"/>
      <c r="E3" s="32"/>
      <c r="F3" s="32"/>
      <c r="G3" s="32"/>
      <c r="H3" s="32"/>
    </row>
    <row r="4" spans="1:8">
      <c r="A4" s="27" t="s">
        <v>362</v>
      </c>
      <c r="B4" s="30" t="s">
        <v>13</v>
      </c>
      <c r="C4" s="31"/>
      <c r="D4" s="32"/>
      <c r="E4" s="32"/>
      <c r="F4" s="32"/>
      <c r="G4" s="32"/>
      <c r="H4" s="32"/>
    </row>
    <row r="5" spans="1:8">
      <c r="A5" s="27" t="s">
        <v>363</v>
      </c>
      <c r="B5" s="30" t="s">
        <v>364</v>
      </c>
      <c r="C5" s="31"/>
      <c r="D5" s="32"/>
      <c r="E5" s="32"/>
      <c r="F5" s="31"/>
      <c r="G5" s="32"/>
      <c r="H5" s="32"/>
    </row>
    <row r="6" spans="1:8">
      <c r="A6" s="27" t="s">
        <v>365</v>
      </c>
      <c r="B6" s="30" t="s">
        <v>13</v>
      </c>
      <c r="C6" s="31"/>
      <c r="D6" s="31"/>
      <c r="E6" s="32"/>
      <c r="F6" s="32"/>
      <c r="G6" s="32"/>
      <c r="H6" s="32"/>
    </row>
    <row r="7" spans="1:8">
      <c r="A7" s="27" t="s">
        <v>366</v>
      </c>
      <c r="B7" s="30" t="s">
        <v>367</v>
      </c>
      <c r="C7" s="32"/>
      <c r="D7" s="32"/>
      <c r="E7" s="32"/>
      <c r="F7" s="33"/>
      <c r="G7" s="32"/>
      <c r="H7" s="32"/>
    </row>
    <row r="8" spans="1:8">
      <c r="A8" s="27" t="s">
        <v>368</v>
      </c>
      <c r="B8" s="30" t="s">
        <v>367</v>
      </c>
      <c r="C8" s="32"/>
      <c r="D8" s="32"/>
      <c r="E8" s="32"/>
      <c r="F8" s="33"/>
      <c r="G8" s="32"/>
      <c r="H8" s="32"/>
    </row>
    <row r="9" spans="1:8">
      <c r="A9" s="27" t="s">
        <v>369</v>
      </c>
      <c r="B9" s="30" t="s">
        <v>13</v>
      </c>
      <c r="C9" s="32"/>
      <c r="D9" s="31"/>
      <c r="E9" s="32"/>
      <c r="F9" s="32"/>
      <c r="G9" s="32"/>
      <c r="H9" s="32"/>
    </row>
    <row r="10" spans="1:8">
      <c r="A10" s="27" t="s">
        <v>370</v>
      </c>
      <c r="B10" s="30" t="s">
        <v>13</v>
      </c>
      <c r="C10" s="32"/>
      <c r="D10" s="31"/>
      <c r="E10" s="31"/>
      <c r="F10" s="32"/>
      <c r="G10" s="32"/>
      <c r="H10" s="32"/>
    </row>
    <row r="11" spans="1:8">
      <c r="A11" s="27" t="s">
        <v>371</v>
      </c>
      <c r="B11" s="30" t="s">
        <v>13</v>
      </c>
      <c r="C11" s="32"/>
      <c r="D11" s="32"/>
      <c r="E11" s="31"/>
      <c r="F11" s="32"/>
      <c r="G11" s="32"/>
      <c r="H11" s="32"/>
    </row>
    <row r="12" spans="1:8">
      <c r="A12" s="27" t="s">
        <v>372</v>
      </c>
      <c r="B12" s="30" t="s">
        <v>13</v>
      </c>
      <c r="C12" s="32"/>
      <c r="D12" s="32"/>
      <c r="E12" s="31"/>
      <c r="F12" s="32"/>
      <c r="G12" s="32"/>
      <c r="H12" s="32"/>
    </row>
    <row r="13" spans="1:8">
      <c r="A13" s="27" t="s">
        <v>373</v>
      </c>
      <c r="B13" s="30" t="s">
        <v>13</v>
      </c>
      <c r="C13" s="32"/>
      <c r="D13" s="32"/>
      <c r="E13" s="31"/>
      <c r="F13" s="32"/>
      <c r="G13" s="32"/>
      <c r="H13" s="32"/>
    </row>
    <row r="14" spans="1:8">
      <c r="A14" s="27" t="s">
        <v>374</v>
      </c>
      <c r="B14" s="30" t="s">
        <v>13</v>
      </c>
      <c r="C14" s="32"/>
      <c r="D14" s="31"/>
      <c r="E14" s="31"/>
      <c r="F14" s="32"/>
      <c r="G14" s="32"/>
      <c r="H14" s="32"/>
    </row>
    <row r="15" spans="1:8">
      <c r="A15" s="27" t="s">
        <v>375</v>
      </c>
      <c r="B15" s="30" t="s">
        <v>13</v>
      </c>
      <c r="C15" s="32"/>
      <c r="D15" s="32"/>
      <c r="E15" s="31"/>
      <c r="F15" s="32"/>
      <c r="G15" s="32"/>
      <c r="H15" s="32"/>
    </row>
    <row r="16" spans="1:8">
      <c r="A16" s="27" t="s">
        <v>376</v>
      </c>
      <c r="B16" s="30" t="s">
        <v>367</v>
      </c>
      <c r="C16" s="32"/>
      <c r="D16" s="32"/>
      <c r="E16" s="32"/>
      <c r="F16" s="33"/>
      <c r="G16" s="33"/>
      <c r="H16" s="32"/>
    </row>
    <row r="17" spans="1:8">
      <c r="A17" s="27" t="s">
        <v>377</v>
      </c>
      <c r="B17" s="30" t="s">
        <v>367</v>
      </c>
      <c r="C17" s="32"/>
      <c r="D17" s="32"/>
      <c r="E17" s="32"/>
      <c r="F17" s="33"/>
      <c r="G17" s="33"/>
      <c r="H17" s="32"/>
    </row>
    <row r="18" spans="1:8">
      <c r="A18" s="27" t="s">
        <v>378</v>
      </c>
      <c r="B18" s="30" t="s">
        <v>367</v>
      </c>
      <c r="C18" s="32"/>
      <c r="D18" s="32"/>
      <c r="E18" s="32"/>
      <c r="F18" s="32"/>
      <c r="G18" s="33"/>
      <c r="H18" s="32"/>
    </row>
    <row r="19" spans="1:8">
      <c r="A19" s="27" t="s">
        <v>379</v>
      </c>
      <c r="B19" s="30" t="s">
        <v>367</v>
      </c>
      <c r="C19" s="32"/>
      <c r="D19" s="32"/>
      <c r="E19" s="32"/>
      <c r="F19" s="32"/>
      <c r="G19" s="33"/>
      <c r="H19" s="32"/>
    </row>
    <row r="20" spans="1:8">
      <c r="A20" s="27" t="s">
        <v>380</v>
      </c>
      <c r="B20" s="30" t="s">
        <v>367</v>
      </c>
      <c r="C20" s="32"/>
      <c r="D20" s="32"/>
      <c r="E20" s="32"/>
      <c r="F20" s="32"/>
      <c r="G20" s="33"/>
      <c r="H20" s="32"/>
    </row>
    <row r="21" spans="1:8">
      <c r="A21" s="27" t="s">
        <v>381</v>
      </c>
      <c r="B21" s="30" t="s">
        <v>364</v>
      </c>
      <c r="C21" s="32"/>
      <c r="D21" s="31"/>
      <c r="E21" s="31"/>
      <c r="F21" s="31"/>
      <c r="G21" s="32"/>
      <c r="H21" s="32"/>
    </row>
    <row r="22" spans="1:8">
      <c r="A22" s="27" t="s">
        <v>382</v>
      </c>
      <c r="B22" s="30" t="s">
        <v>13</v>
      </c>
      <c r="C22" s="32"/>
      <c r="D22" s="31"/>
      <c r="E22" s="32"/>
      <c r="F22" s="32"/>
      <c r="G22" s="32"/>
      <c r="H22" s="32"/>
    </row>
    <row r="23" spans="1:8">
      <c r="A23" s="27" t="s">
        <v>383</v>
      </c>
      <c r="B23" s="30" t="s">
        <v>367</v>
      </c>
      <c r="C23" s="32"/>
      <c r="D23" s="32"/>
      <c r="E23" s="32"/>
      <c r="F23" s="32"/>
      <c r="G23" s="32"/>
      <c r="H23" s="33"/>
    </row>
    <row r="24" spans="1:8">
      <c r="A24" s="27" t="s">
        <v>384</v>
      </c>
      <c r="B24" s="30" t="s">
        <v>367</v>
      </c>
      <c r="C24" s="32"/>
      <c r="D24" s="32"/>
      <c r="E24" s="32"/>
      <c r="F24" s="32"/>
      <c r="G24" s="33"/>
      <c r="H24" s="33"/>
    </row>
    <row r="25" spans="1:8">
      <c r="A25" s="27" t="s">
        <v>385</v>
      </c>
      <c r="B25" s="30" t="s">
        <v>13</v>
      </c>
      <c r="C25" s="32"/>
      <c r="D25" s="32"/>
      <c r="E25" s="31"/>
      <c r="F25" s="32"/>
      <c r="G25" s="32"/>
      <c r="H25" s="32"/>
    </row>
    <row r="26" spans="1:8">
      <c r="A26" s="27" t="s">
        <v>386</v>
      </c>
      <c r="B26" s="30" t="s">
        <v>367</v>
      </c>
      <c r="C26" s="32"/>
      <c r="D26" s="32"/>
      <c r="E26" s="32"/>
      <c r="F26" s="32"/>
      <c r="G26" s="32"/>
      <c r="H26" s="33"/>
    </row>
    <row r="28" spans="1:8">
      <c r="A28" s="34" t="s">
        <v>387</v>
      </c>
      <c r="C28" s="31" t="s">
        <v>13</v>
      </c>
      <c r="D28" s="33" t="s">
        <v>77</v>
      </c>
    </row>
    <row r="29" spans="1:8">
      <c r="A29" s="35" t="s">
        <v>388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zoomScaleNormal="100" workbookViewId="0"/>
  </sheetViews>
  <sheetFormatPr defaultColWidth="8.7109375" defaultRowHeight="15"/>
  <cols>
    <col min="1" max="1" width="16" customWidth="1"/>
    <col min="2" max="2" width="22" customWidth="1"/>
    <col min="3" max="3" width="16" customWidth="1"/>
    <col min="4" max="4" width="10" customWidth="1"/>
    <col min="5" max="5" width="20" customWidth="1"/>
  </cols>
  <sheetData>
    <row r="1" spans="1:5" ht="25.5" customHeight="1">
      <c r="A1" s="11" t="s">
        <v>389</v>
      </c>
      <c r="B1" s="11"/>
      <c r="C1" s="11"/>
      <c r="D1" s="11"/>
      <c r="E1" s="11"/>
    </row>
    <row r="2" spans="1:5">
      <c r="A2" s="14" t="s">
        <v>390</v>
      </c>
      <c r="B2" s="14" t="s">
        <v>391</v>
      </c>
      <c r="C2" s="14" t="s">
        <v>392</v>
      </c>
      <c r="D2" s="14" t="s">
        <v>393</v>
      </c>
      <c r="E2" s="14" t="s">
        <v>394</v>
      </c>
    </row>
    <row r="3" spans="1:5" ht="22.35">
      <c r="A3" s="36" t="s">
        <v>395</v>
      </c>
      <c r="B3" s="15">
        <v>17</v>
      </c>
      <c r="C3" s="15">
        <v>24</v>
      </c>
      <c r="D3" s="37">
        <f>B3/C3</f>
        <v>0.70833333333333337</v>
      </c>
      <c r="E3" s="27" t="s">
        <v>396</v>
      </c>
    </row>
    <row r="4" spans="1:5" ht="22.35">
      <c r="A4" s="36" t="s">
        <v>397</v>
      </c>
      <c r="B4" s="15">
        <v>19.75</v>
      </c>
      <c r="C4" s="15">
        <v>24</v>
      </c>
      <c r="D4" s="37">
        <f>B4/C4</f>
        <v>0.82291666666666663</v>
      </c>
      <c r="E4" s="27" t="s">
        <v>398</v>
      </c>
    </row>
    <row r="5" spans="1:5" ht="22.35">
      <c r="A5" s="36" t="s">
        <v>399</v>
      </c>
      <c r="B5" s="15">
        <v>20.5</v>
      </c>
      <c r="C5" s="15">
        <v>24</v>
      </c>
      <c r="D5" s="37">
        <f>B5/C5</f>
        <v>0.85416666666666663</v>
      </c>
      <c r="E5" s="27" t="s">
        <v>400</v>
      </c>
    </row>
    <row r="6" spans="1:5" ht="22.35">
      <c r="A6" s="36" t="s">
        <v>401</v>
      </c>
      <c r="B6" s="15">
        <v>18.5</v>
      </c>
      <c r="C6" s="15">
        <v>24</v>
      </c>
      <c r="D6" s="37">
        <f>B6/C6</f>
        <v>0.77083333333333337</v>
      </c>
      <c r="E6" s="27" t="s">
        <v>402</v>
      </c>
    </row>
    <row r="7" spans="1:5">
      <c r="A7" s="36" t="s">
        <v>403</v>
      </c>
      <c r="B7" s="15">
        <v>17.5</v>
      </c>
      <c r="C7" s="15">
        <v>24</v>
      </c>
      <c r="D7" s="37">
        <f>B7/C7</f>
        <v>0.72916666666666663</v>
      </c>
      <c r="E7" s="27" t="s">
        <v>404</v>
      </c>
    </row>
    <row r="8" spans="1:5" ht="32.85">
      <c r="A8" s="36" t="s">
        <v>405</v>
      </c>
      <c r="B8" s="15">
        <v>16.5</v>
      </c>
      <c r="C8" s="15">
        <v>24</v>
      </c>
      <c r="D8" s="37">
        <f>B8/C8</f>
        <v>0.6875</v>
      </c>
      <c r="E8" s="27" t="s">
        <v>406</v>
      </c>
    </row>
    <row r="9" spans="1:5">
      <c r="A9" s="38" t="s">
        <v>260</v>
      </c>
      <c r="B9" s="25">
        <f>SUM(B3:B8)</f>
        <v>109.75</v>
      </c>
      <c r="C9" s="25">
        <f>SUM(C3:C8)</f>
        <v>144</v>
      </c>
      <c r="D9" s="39">
        <f>B9/C9</f>
        <v>0.76215277777777779</v>
      </c>
    </row>
    <row r="12" spans="1:5" ht="15" customHeight="1">
      <c r="A12" s="11" t="s">
        <v>407</v>
      </c>
      <c r="B12" s="11"/>
      <c r="C12" s="11"/>
      <c r="D12" s="11"/>
      <c r="E12" s="11"/>
    </row>
    <row r="13" spans="1:5" ht="23.85" customHeight="1">
      <c r="A13" s="40" t="s">
        <v>408</v>
      </c>
      <c r="B13" s="1" t="s">
        <v>409</v>
      </c>
      <c r="C13" s="1"/>
      <c r="D13" s="1"/>
      <c r="E13" s="1"/>
    </row>
    <row r="14" spans="1:5" ht="23.85" customHeight="1">
      <c r="A14" s="40" t="s">
        <v>410</v>
      </c>
      <c r="B14" s="1" t="s">
        <v>411</v>
      </c>
      <c r="C14" s="1"/>
      <c r="D14" s="1"/>
      <c r="E14" s="1"/>
    </row>
    <row r="15" spans="1:5" ht="15" customHeight="1">
      <c r="A15" s="40" t="s">
        <v>412</v>
      </c>
      <c r="B15" s="1" t="s">
        <v>413</v>
      </c>
      <c r="C15" s="1"/>
      <c r="D15" s="1"/>
      <c r="E15" s="1"/>
    </row>
    <row r="16" spans="1:5" ht="35.1" customHeight="1">
      <c r="A16" s="40" t="s">
        <v>414</v>
      </c>
      <c r="B16" s="1" t="s">
        <v>415</v>
      </c>
      <c r="C16" s="1"/>
      <c r="D16" s="1"/>
      <c r="E16" s="1"/>
    </row>
    <row r="17" spans="1:5" ht="23.85" customHeight="1">
      <c r="A17" s="40" t="s">
        <v>416</v>
      </c>
      <c r="B17" s="1" t="s">
        <v>417</v>
      </c>
      <c r="C17" s="1"/>
      <c r="D17" s="1"/>
      <c r="E17" s="1"/>
    </row>
    <row r="18" spans="1:5" ht="35.1" customHeight="1">
      <c r="A18" s="40" t="s">
        <v>418</v>
      </c>
      <c r="B18" s="1" t="s">
        <v>419</v>
      </c>
      <c r="C18" s="1"/>
      <c r="D18" s="1"/>
      <c r="E18" s="1"/>
    </row>
    <row r="19" spans="1:5" ht="23.85" customHeight="1">
      <c r="A19" s="40" t="s">
        <v>420</v>
      </c>
      <c r="B19" s="1" t="s">
        <v>421</v>
      </c>
      <c r="C19" s="1"/>
      <c r="D19" s="1"/>
      <c r="E19" s="1"/>
    </row>
    <row r="20" spans="1:5" ht="23.85" customHeight="1">
      <c r="A20" s="40" t="s">
        <v>422</v>
      </c>
      <c r="B20" s="1" t="s">
        <v>423</v>
      </c>
      <c r="C20" s="1"/>
      <c r="D20" s="1"/>
      <c r="E20" s="1"/>
    </row>
    <row r="21" spans="1:5" ht="23.85" customHeight="1">
      <c r="A21" s="40" t="s">
        <v>424</v>
      </c>
      <c r="B21" s="1" t="s">
        <v>425</v>
      </c>
      <c r="C21" s="1"/>
      <c r="D21" s="1"/>
      <c r="E21" s="1"/>
    </row>
  </sheetData>
  <mergeCells count="11">
    <mergeCell ref="B21:E21"/>
    <mergeCell ref="B16:E16"/>
    <mergeCell ref="B17:E17"/>
    <mergeCell ref="B18:E18"/>
    <mergeCell ref="B19:E19"/>
    <mergeCell ref="B20:E20"/>
    <mergeCell ref="A1:E1"/>
    <mergeCell ref="A12:E12"/>
    <mergeCell ref="B13:E13"/>
    <mergeCell ref="B14:E14"/>
    <mergeCell ref="B15:E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NUNES SERAFIM</dc:creator>
  <cp:keywords/>
  <dc:description/>
  <cp:lastModifiedBy/>
  <cp:revision>0</cp:revision>
  <dcterms:created xsi:type="dcterms:W3CDTF">2026-08-25T21:35:55Z</dcterms:created>
  <dcterms:modified xsi:type="dcterms:W3CDTF">2026-08-25T21:38:14Z</dcterms:modified>
  <cp:category/>
  <cp:contentStatus/>
</cp:coreProperties>
</file>